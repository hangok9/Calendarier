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Julio" sheetId="3" state="visible" r:id="rId3"/>
    <sheet xmlns:r="http://schemas.openxmlformats.org/officeDocument/2006/relationships" name="Agosto" sheetId="4" state="visible" r:id="rId4"/>
    <sheet xmlns:r="http://schemas.openxmlformats.org/officeDocument/2006/relationships" name="Cuadricula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E74C3C"/>
    </font>
    <font>
      <b val="1"/>
      <color rgb="001B2631"/>
      <sz val="12"/>
    </font>
    <font>
      <b val="1"/>
      <color rgb="001B2631"/>
      <sz val="10"/>
    </font>
    <font>
      <b val="1"/>
      <color rgb="00FFFFFF"/>
      <sz val="10"/>
    </font>
    <font>
      <i val="1"/>
      <color rgb="001B2631"/>
      <sz val="10"/>
    </font>
    <font>
      <b val="1"/>
      <color rgb="00FFFFFF"/>
      <sz val="18"/>
    </font>
    <font>
      <b val="1"/>
      <color rgb="00FFFFFF"/>
      <sz val="9"/>
    </font>
    <font>
      <b val="1"/>
      <color rgb="001E8449"/>
      <sz val="16"/>
    </font>
    <font>
      <i val="1"/>
      <color rgb="007F8C8D"/>
      <sz val="9"/>
    </font>
    <font>
      <b val="1"/>
      <color rgb="001E8449"/>
      <sz val="11"/>
    </font>
    <font>
      <b val="1"/>
      <color rgb="00FFFFFF"/>
      <sz val="14"/>
    </font>
    <font>
      <color rgb="001B2631"/>
      <sz val="9"/>
    </font>
    <font>
      <b val="1"/>
      <color rgb="001B2631"/>
      <sz val="18"/>
    </font>
    <font>
      <b val="1"/>
      <color rgb="002980B9"/>
      <sz val="13"/>
    </font>
    <font>
      <sz val="11"/>
    </font>
    <font>
      <b val="1"/>
      <color rgb="00E74C3C"/>
      <sz val="11"/>
    </font>
    <font>
      <b val="1"/>
      <sz val="11"/>
    </font>
    <font>
      <name val="Consolas"/>
      <color rgb="001B2631"/>
      <sz val="10"/>
    </font>
  </fonts>
  <fills count="2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AED6F1"/>
        <bgColor rgb="00AED6F1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1E8449"/>
        <bgColor rgb="001E8449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  <fill>
      <patternFill patternType="solid">
        <fgColor rgb="00B6D7A8"/>
        <bgColor rgb="00B6D7A8"/>
      </patternFill>
    </fill>
    <fill>
      <patternFill patternType="solid">
        <fgColor rgb="006AA84F"/>
        <bgColor rgb="006AA84F"/>
      </patternFill>
    </fill>
    <fill>
      <patternFill patternType="solid">
        <fgColor rgb="0038761D"/>
        <bgColor rgb="0038761D"/>
      </patternFill>
    </fill>
    <fill>
      <patternFill patternType="solid">
        <fgColor rgb="00F6B26B"/>
        <bgColor rgb="00F6B26B"/>
      </patternFill>
    </fill>
    <fill>
      <patternFill patternType="solid">
        <fgColor rgb="00E06666"/>
        <bgColor rgb="00E06666"/>
      </patternFill>
    </fill>
    <fill>
      <patternFill patternType="solid">
        <fgColor rgb="00717D7E"/>
        <bgColor rgb="00717D7E"/>
      </patternFill>
    </fill>
    <fill>
      <patternFill patternType="solid">
        <fgColor rgb="008E44AD"/>
        <bgColor rgb="008E44AD"/>
      </patternFill>
    </fill>
    <fill>
      <patternFill patternType="solid">
        <fgColor rgb="0017A589"/>
        <bgColor rgb="0017A589"/>
      </patternFill>
    </fill>
    <fill>
      <patternFill patternType="solid">
        <fgColor rgb="00E67E22"/>
        <bgColor rgb="00E67E22"/>
      </patternFill>
    </fill>
    <fill>
      <patternFill patternType="solid">
        <fgColor rgb="001B2631"/>
        <bgColor rgb="001B2631"/>
      </patternFill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  <fill>
      <patternFill patternType="solid">
        <fgColor rgb="00F8F9FA"/>
        <bgColor rgb="00F8F9FA"/>
      </patternFill>
    </fill>
    <fill>
      <patternFill patternType="solid">
        <fgColor rgb="001A5276"/>
        <bgColor rgb="001A5276"/>
      </patternFill>
    </fill>
    <fill>
      <patternFill patternType="solid">
        <fgColor rgb="000E6655"/>
        <bgColor rgb="000E6655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0" fillId="8" borderId="1" pivotButton="0" quotePrefix="0" xfId="0"/>
    <xf numFmtId="165" fontId="0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19" borderId="0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11" fillId="0" borderId="0" pivotButton="0" quotePrefix="0" xfId="0"/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9" fontId="12" fillId="21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0" fillId="25" borderId="1" pivotButton="0" quotePrefix="0" xfId="0"/>
    <xf numFmtId="0" fontId="14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1">
    <dxf>
      <fill>
        <patternFill patternType="solid">
          <fgColor rgb="00B6D7A8"/>
          <bgColor rgb="00B6D7A8"/>
        </patternFill>
      </fill>
    </dxf>
    <dxf>
      <fill>
        <patternFill patternType="solid">
          <fgColor rgb="006AA84F"/>
          <bgColor rgb="006AA84F"/>
        </patternFill>
      </fill>
    </dxf>
    <dxf>
      <font>
        <b val="1"/>
        <color rgb="00FFFFFF"/>
        <sz val="10"/>
      </font>
      <fill>
        <patternFill patternType="solid">
          <fgColor rgb="0038761D"/>
          <bgColor rgb="0038761D"/>
        </patternFill>
      </fill>
    </dxf>
    <dxf>
      <fill>
        <patternFill patternType="solid">
          <fgColor rgb="00F6B26B"/>
          <bgColor rgb="00F6B26B"/>
        </patternFill>
      </fill>
    </dxf>
    <dxf>
      <font>
        <b val="1"/>
        <color rgb="00FFFFFF"/>
        <sz val="10"/>
      </font>
      <fill>
        <patternFill patternType="solid">
          <fgColor rgb="00E06666"/>
          <bgColor rgb="00E06666"/>
        </patternFill>
      </fill>
    </dxf>
    <dxf>
      <font>
        <b val="1"/>
        <color rgb="00FFFFFF"/>
        <sz val="10"/>
      </font>
      <fill>
        <patternFill patternType="solid">
          <fgColor rgb="00717D7E"/>
          <bgColor rgb="00717D7E"/>
        </patternFill>
      </fill>
    </dxf>
    <dxf>
      <font>
        <b val="1"/>
        <color rgb="00FFFFFF"/>
        <sz val="10"/>
      </font>
      <fill>
        <patternFill patternType="solid">
          <fgColor rgb="008E44AD"/>
          <bgColor rgb="008E44AD"/>
        </patternFill>
      </fill>
    </dxf>
    <dxf>
      <font>
        <b val="1"/>
        <color rgb="00FFFFFF"/>
        <sz val="10"/>
      </font>
      <fill>
        <patternFill patternType="solid">
          <fgColor rgb="0017A589"/>
          <bgColor rgb="0017A589"/>
        </patternFill>
      </fill>
    </dxf>
    <dxf>
      <font>
        <b val="1"/>
        <color rgb="00FFFFFF"/>
        <sz val="10"/>
      </font>
      <fill>
        <patternFill patternType="solid">
          <fgColor rgb="00E67E22"/>
          <bgColor rgb="00E67E22"/>
        </patternFill>
      </fill>
    </dxf>
    <dxf>
      <font>
        <b val="1"/>
        <color rgb="00FFFFFF"/>
        <sz val="11"/>
      </font>
      <fill>
        <patternFill patternType="solid">
          <fgColor rgb="001E8449"/>
          <bgColor rgb="001E8449"/>
        </patternFill>
      </fill>
    </dxf>
    <dxf>
      <font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color rgb="001B2631"/>
        <sz val="11"/>
      </font>
      <fill>
        <patternFill patternType="solid">
          <fgColor rgb="0082E0AA"/>
          <bgColor rgb="0082E0AA"/>
        </patternFill>
      </fill>
    </dxf>
    <dxf>
      <font>
        <color rgb="001B2631"/>
        <sz val="11"/>
      </font>
      <fill>
        <patternFill patternType="solid">
          <fgColor rgb="00ABEBC6"/>
          <bgColor rgb="00ABEBC6"/>
        </patternFill>
      </fill>
    </dxf>
    <dxf>
      <font>
        <b val="1"/>
        <color rgb="00FFFFFF"/>
      </font>
      <fill>
        <patternFill patternType="solid">
          <fgColor rgb="00E06666"/>
          <bgColor rgb="00E06666"/>
        </patternFill>
      </fill>
    </dxf>
    <dxf>
      <fill>
        <patternFill patternType="solid">
          <fgColor rgb="00F2F3F4"/>
          <bgColor rgb="00F2F3F4"/>
        </patternFill>
      </fill>
    </dxf>
    <dxf>
      <fill>
        <patternFill patternType="solid">
          <fgColor rgb="00D6EAF8"/>
          <bgColor rgb="00D6EAF8"/>
        </patternFill>
      </fill>
    </dxf>
    <dxf>
      <fill>
        <patternFill patternType="solid">
          <fgColor rgb="00FDEBD0"/>
          <bgColor rgb="00FDEBD0"/>
        </patternFill>
      </fill>
    </dxf>
    <dxf>
      <fill>
        <patternFill patternType="solid">
          <fgColor rgb="00E8DAEF"/>
          <bgColor rgb="00E8DAEF"/>
        </patternFill>
      </fill>
    </dxf>
    <dxf>
      <fill>
        <patternFill patternType="solid">
          <fgColor rgb="00F5CBA7"/>
          <bgColor rgb="00F5CBA7"/>
        </patternFill>
      </fill>
    </dxf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I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1" t="inlineStr">
        <is>
          <t>Fecha</t>
        </is>
      </c>
      <c r="B1" s="1" t="inlineStr">
        <is>
          <t>Dia</t>
        </is>
      </c>
      <c r="C1" s="1" t="inlineStr">
        <is>
          <t>RESI</t>
        </is>
      </c>
      <c r="D1" s="1" t="inlineStr">
        <is>
          <t>OSCAR</t>
        </is>
      </c>
      <c r="E1" s="1" t="inlineStr">
        <is>
          <t>CLARA</t>
        </is>
      </c>
      <c r="F1" s="1" t="inlineStr">
        <is>
          <t>ANNA</t>
        </is>
      </c>
      <c r="G1" s="1" t="inlineStr">
        <is>
          <t>PEPE</t>
        </is>
      </c>
      <c r="H1" s="1" t="inlineStr">
        <is>
          <t>IVAN</t>
        </is>
      </c>
      <c r="I1" s="1" t="inlineStr">
        <is>
          <t>YERAY</t>
        </is>
      </c>
    </row>
    <row r="2" ht="28" customHeight="1">
      <c r="A2" s="2" t="inlineStr">
        <is>
          <t xml:space="preserve">  JULIO 2026</t>
        </is>
      </c>
      <c r="B2" s="3" t="n"/>
      <c r="C2" s="4" t="n"/>
      <c r="D2" s="4" t="n"/>
      <c r="E2" s="4" t="n"/>
      <c r="F2" s="4" t="n"/>
      <c r="G2" s="4" t="n"/>
      <c r="H2" s="4" t="n"/>
      <c r="I2" s="4" t="n"/>
    </row>
    <row r="3">
      <c r="A3" s="5" t="n">
        <v>46204</v>
      </c>
      <c r="B3" s="6" t="inlineStr">
        <is>
          <t>Mie</t>
        </is>
      </c>
      <c r="C3" s="6" t="n"/>
      <c r="D3" s="6" t="n"/>
      <c r="E3" s="6" t="n"/>
      <c r="F3" s="6" t="n"/>
      <c r="G3" s="6" t="n"/>
      <c r="H3" s="6" t="n"/>
      <c r="I3" s="6" t="n"/>
    </row>
    <row r="4">
      <c r="A4" s="5" t="n">
        <v>46205</v>
      </c>
      <c r="B4" s="6" t="inlineStr">
        <is>
          <t>Jue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5" t="n">
        <v>46206</v>
      </c>
      <c r="B5" s="6" t="inlineStr">
        <is>
          <t>Vie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7" t="n">
        <v>46207</v>
      </c>
      <c r="B6" s="8" t="inlineStr">
        <is>
          <t>Sab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7" t="n">
        <v>46208</v>
      </c>
      <c r="B7" s="9" t="inlineStr">
        <is>
          <t>Dom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5" t="n">
        <v>46209</v>
      </c>
      <c r="B8" s="6" t="inlineStr">
        <is>
          <t>Lun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5" t="n">
        <v>46210</v>
      </c>
      <c r="B9" s="6" t="inlineStr">
        <is>
          <t>Mar</t>
        </is>
      </c>
      <c r="C9" s="6" t="n"/>
      <c r="D9" s="6" t="n"/>
      <c r="E9" s="6" t="n"/>
      <c r="F9" s="6" t="n"/>
      <c r="G9" s="6" t="n"/>
      <c r="H9" s="6" t="n"/>
      <c r="I9" s="6" t="n"/>
    </row>
    <row r="10">
      <c r="A10" s="5" t="n">
        <v>46211</v>
      </c>
      <c r="B10" s="6" t="inlineStr">
        <is>
          <t>Mie</t>
        </is>
      </c>
      <c r="C10" s="6" t="n"/>
      <c r="D10" s="6" t="n"/>
      <c r="E10" s="6" t="n"/>
      <c r="F10" s="6" t="n"/>
      <c r="G10" s="6" t="n"/>
      <c r="H10" s="6" t="n"/>
      <c r="I10" s="6" t="n"/>
    </row>
    <row r="11">
      <c r="A11" s="5" t="n">
        <v>46212</v>
      </c>
      <c r="B11" s="6" t="inlineStr">
        <is>
          <t>Jue</t>
        </is>
      </c>
      <c r="C11" s="6" t="n"/>
      <c r="D11" s="6" t="n"/>
      <c r="E11" s="6" t="n"/>
      <c r="F11" s="6" t="n"/>
      <c r="G11" s="6" t="n"/>
      <c r="H11" s="6" t="n"/>
      <c r="I11" s="6" t="n"/>
    </row>
    <row r="12">
      <c r="A12" s="5" t="n">
        <v>46213</v>
      </c>
      <c r="B12" s="6" t="inlineStr">
        <is>
          <t>Vie</t>
        </is>
      </c>
      <c r="C12" s="6" t="n"/>
      <c r="D12" s="6" t="n"/>
      <c r="E12" s="6" t="n"/>
      <c r="F12" s="6" t="n"/>
      <c r="G12" s="6" t="n"/>
      <c r="H12" s="6" t="n"/>
      <c r="I12" s="6" t="n"/>
    </row>
    <row r="13">
      <c r="A13" s="7" t="n">
        <v>46214</v>
      </c>
      <c r="B13" s="8" t="inlineStr">
        <is>
          <t>Sab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7" t="n">
        <v>46215</v>
      </c>
      <c r="B14" s="9" t="inlineStr">
        <is>
          <t>Dom</t>
        </is>
      </c>
      <c r="C14" s="6" t="n"/>
      <c r="D14" s="6" t="n"/>
      <c r="E14" s="6" t="n"/>
      <c r="F14" s="6" t="n"/>
      <c r="G14" s="6" t="n"/>
      <c r="H14" s="6" t="n"/>
      <c r="I14" s="6" t="n"/>
    </row>
    <row r="15">
      <c r="A15" s="5" t="n">
        <v>46216</v>
      </c>
      <c r="B15" s="6" t="inlineStr">
        <is>
          <t>Lun</t>
        </is>
      </c>
      <c r="C15" s="6" t="n"/>
      <c r="D15" s="6" t="n"/>
      <c r="E15" s="6" t="n"/>
      <c r="F15" s="6" t="n"/>
      <c r="G15" s="6" t="n"/>
      <c r="H15" s="6" t="n"/>
      <c r="I15" s="6" t="n"/>
    </row>
    <row r="16">
      <c r="A16" s="5" t="n">
        <v>46217</v>
      </c>
      <c r="B16" s="6" t="inlineStr">
        <is>
          <t>Mar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A17" s="5" t="n">
        <v>46218</v>
      </c>
      <c r="B17" s="6" t="inlineStr">
        <is>
          <t>Mie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A18" s="5" t="n">
        <v>46219</v>
      </c>
      <c r="B18" s="6" t="inlineStr">
        <is>
          <t>Jue</t>
        </is>
      </c>
      <c r="C18" s="6" t="n"/>
      <c r="D18" s="6" t="n"/>
      <c r="E18" s="6" t="n"/>
      <c r="F18" s="6" t="n"/>
      <c r="G18" s="6" t="n"/>
      <c r="H18" s="6" t="n"/>
      <c r="I18" s="6" t="n"/>
    </row>
    <row r="19">
      <c r="A19" s="5" t="n">
        <v>46220</v>
      </c>
      <c r="B19" s="6" t="inlineStr">
        <is>
          <t>Vie</t>
        </is>
      </c>
      <c r="C19" s="6" t="n"/>
      <c r="D19" s="6" t="n"/>
      <c r="E19" s="6" t="n"/>
      <c r="F19" s="6" t="n"/>
      <c r="G19" s="6" t="n"/>
      <c r="H19" s="6" t="n"/>
      <c r="I19" s="6" t="n"/>
    </row>
    <row r="20">
      <c r="A20" s="7" t="n">
        <v>46221</v>
      </c>
      <c r="B20" s="8" t="inlineStr">
        <is>
          <t>Sab</t>
        </is>
      </c>
      <c r="C20" s="6" t="n"/>
      <c r="D20" s="6" t="n"/>
      <c r="E20" s="6" t="n"/>
      <c r="F20" s="6" t="n"/>
      <c r="G20" s="6" t="n"/>
      <c r="H20" s="6" t="n"/>
      <c r="I20" s="6" t="n"/>
    </row>
    <row r="21">
      <c r="A21" s="7" t="n">
        <v>46222</v>
      </c>
      <c r="B21" s="9" t="inlineStr">
        <is>
          <t>Dom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5" t="n">
        <v>46223</v>
      </c>
      <c r="B22" s="6" t="inlineStr">
        <is>
          <t>Lun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5" t="n">
        <v>46224</v>
      </c>
      <c r="B23" s="6" t="inlineStr">
        <is>
          <t>Mar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5" t="n">
        <v>46225</v>
      </c>
      <c r="B24" s="6" t="inlineStr">
        <is>
          <t>Mie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5" t="n">
        <v>46226</v>
      </c>
      <c r="B25" s="6" t="inlineStr">
        <is>
          <t>Jue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5" t="n">
        <v>46227</v>
      </c>
      <c r="B26" s="6" t="inlineStr">
        <is>
          <t>Vie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7" t="n">
        <v>46228</v>
      </c>
      <c r="B27" s="8" t="inlineStr">
        <is>
          <t>Sab</t>
        </is>
      </c>
      <c r="C27" s="6" t="n"/>
      <c r="D27" s="6" t="n"/>
      <c r="E27" s="6" t="n"/>
      <c r="F27" s="6" t="n"/>
      <c r="G27" s="6" t="n"/>
      <c r="H27" s="6" t="n"/>
      <c r="I27" s="6" t="n"/>
    </row>
    <row r="28">
      <c r="A28" s="7" t="n">
        <v>46229</v>
      </c>
      <c r="B28" s="9" t="inlineStr">
        <is>
          <t>Dom</t>
        </is>
      </c>
      <c r="C28" s="6" t="n"/>
      <c r="D28" s="6" t="n"/>
      <c r="E28" s="6" t="n"/>
      <c r="F28" s="6" t="n"/>
      <c r="G28" s="6" t="n"/>
      <c r="H28" s="6" t="n"/>
      <c r="I28" s="6" t="n"/>
    </row>
    <row r="29">
      <c r="A29" s="5" t="n">
        <v>46230</v>
      </c>
      <c r="B29" s="6" t="inlineStr">
        <is>
          <t>Lun</t>
        </is>
      </c>
      <c r="C29" s="6" t="n"/>
      <c r="D29" s="6" t="n"/>
      <c r="E29" s="6" t="n"/>
      <c r="F29" s="6" t="n"/>
      <c r="G29" s="6" t="n"/>
      <c r="H29" s="6" t="n"/>
      <c r="I29" s="6" t="n"/>
    </row>
    <row r="30">
      <c r="A30" s="5" t="n">
        <v>46231</v>
      </c>
      <c r="B30" s="6" t="inlineStr">
        <is>
          <t>Mar</t>
        </is>
      </c>
      <c r="C30" s="6" t="n"/>
      <c r="D30" s="6" t="n"/>
      <c r="E30" s="6" t="n"/>
      <c r="F30" s="6" t="n"/>
      <c r="G30" s="6" t="n"/>
      <c r="H30" s="6" t="n"/>
      <c r="I30" s="6" t="n"/>
    </row>
    <row r="31">
      <c r="A31" s="5" t="n">
        <v>46232</v>
      </c>
      <c r="B31" s="6" t="inlineStr">
        <is>
          <t>Mie</t>
        </is>
      </c>
      <c r="C31" s="6" t="n"/>
      <c r="D31" s="6" t="n"/>
      <c r="E31" s="6" t="n"/>
      <c r="F31" s="6" t="n"/>
      <c r="G31" s="6" t="n"/>
      <c r="H31" s="6" t="n"/>
      <c r="I31" s="6" t="n"/>
    </row>
    <row r="32">
      <c r="A32" s="5" t="n">
        <v>46233</v>
      </c>
      <c r="B32" s="6" t="inlineStr">
        <is>
          <t>Jue</t>
        </is>
      </c>
      <c r="C32" s="6" t="n"/>
      <c r="D32" s="6" t="n"/>
      <c r="E32" s="6" t="n"/>
      <c r="F32" s="6" t="n"/>
      <c r="G32" s="6" t="n"/>
      <c r="H32" s="6" t="n"/>
      <c r="I32" s="6" t="n"/>
    </row>
    <row r="33">
      <c r="A33" s="5" t="n">
        <v>46234</v>
      </c>
      <c r="B33" s="6" t="inlineStr">
        <is>
          <t>Vie</t>
        </is>
      </c>
      <c r="C33" s="6" t="n"/>
      <c r="D33" s="6" t="n"/>
      <c r="E33" s="6" t="n"/>
      <c r="F33" s="6" t="n"/>
      <c r="G33" s="6" t="n"/>
      <c r="H33" s="6" t="n"/>
      <c r="I33" s="6" t="n"/>
    </row>
    <row r="34" ht="28" customHeight="1">
      <c r="A34" s="10" t="inlineStr">
        <is>
          <t xml:space="preserve">  AGOSTO 2026</t>
        </is>
      </c>
      <c r="B34" s="3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7" t="n">
        <v>46235</v>
      </c>
      <c r="B35" s="8" t="inlineStr">
        <is>
          <t>Sab</t>
        </is>
      </c>
      <c r="C35" s="6" t="n"/>
      <c r="D35" s="6" t="n"/>
      <c r="E35" s="6" t="n"/>
      <c r="F35" s="6" t="n"/>
      <c r="G35" s="6" t="n"/>
      <c r="H35" s="6" t="n"/>
      <c r="I35" s="6" t="n"/>
    </row>
    <row r="36">
      <c r="A36" s="7" t="n">
        <v>46236</v>
      </c>
      <c r="B36" s="9" t="inlineStr">
        <is>
          <t>Dom</t>
        </is>
      </c>
      <c r="C36" s="6" t="n"/>
      <c r="D36" s="6" t="n"/>
      <c r="E36" s="6" t="n"/>
      <c r="F36" s="6" t="n"/>
      <c r="G36" s="6" t="n"/>
      <c r="H36" s="6" t="n"/>
      <c r="I36" s="6" t="n"/>
    </row>
    <row r="37">
      <c r="A37" s="12" t="n">
        <v>46237</v>
      </c>
      <c r="B37" s="6" t="inlineStr">
        <is>
          <t>Lun</t>
        </is>
      </c>
      <c r="C37" s="6" t="n"/>
      <c r="D37" s="6" t="n"/>
      <c r="E37" s="6" t="n"/>
      <c r="F37" s="6" t="n"/>
      <c r="G37" s="6" t="n"/>
      <c r="H37" s="6" t="n"/>
      <c r="I37" s="6" t="n"/>
    </row>
    <row r="38">
      <c r="A38" s="12" t="n">
        <v>46238</v>
      </c>
      <c r="B38" s="6" t="inlineStr">
        <is>
          <t>Mar</t>
        </is>
      </c>
      <c r="C38" s="6" t="n"/>
      <c r="D38" s="6" t="n"/>
      <c r="E38" s="6" t="n"/>
      <c r="F38" s="6" t="n"/>
      <c r="G38" s="6" t="n"/>
      <c r="H38" s="6" t="n"/>
      <c r="I38" s="6" t="n"/>
    </row>
    <row r="39">
      <c r="A39" s="12" t="n">
        <v>46239</v>
      </c>
      <c r="B39" s="6" t="inlineStr">
        <is>
          <t>Mie</t>
        </is>
      </c>
      <c r="C39" s="6" t="n"/>
      <c r="D39" s="6" t="n"/>
      <c r="E39" s="6" t="n"/>
      <c r="F39" s="6" t="n"/>
      <c r="G39" s="6" t="n"/>
      <c r="H39" s="6" t="n"/>
      <c r="I39" s="6" t="n"/>
    </row>
    <row r="40">
      <c r="A40" s="12" t="n">
        <v>46240</v>
      </c>
      <c r="B40" s="6" t="inlineStr">
        <is>
          <t>Jue</t>
        </is>
      </c>
      <c r="C40" s="6" t="n"/>
      <c r="D40" s="6" t="n"/>
      <c r="E40" s="6" t="n"/>
      <c r="F40" s="6" t="n"/>
      <c r="G40" s="6" t="n"/>
      <c r="H40" s="6" t="n"/>
      <c r="I40" s="6" t="n"/>
    </row>
    <row r="41">
      <c r="A41" s="12" t="n">
        <v>46241</v>
      </c>
      <c r="B41" s="6" t="inlineStr">
        <is>
          <t>Vie</t>
        </is>
      </c>
      <c r="C41" s="6" t="n"/>
      <c r="D41" s="6" t="n"/>
      <c r="E41" s="6" t="n"/>
      <c r="F41" s="6" t="n"/>
      <c r="G41" s="6" t="n"/>
      <c r="H41" s="6" t="n"/>
      <c r="I41" s="6" t="n"/>
    </row>
    <row r="42">
      <c r="A42" s="7" t="n">
        <v>46242</v>
      </c>
      <c r="B42" s="8" t="inlineStr">
        <is>
          <t>Sab</t>
        </is>
      </c>
      <c r="C42" s="6" t="n"/>
      <c r="D42" s="6" t="n"/>
      <c r="E42" s="6" t="n"/>
      <c r="F42" s="6" t="n"/>
      <c r="G42" s="6" t="n"/>
      <c r="H42" s="6" t="n"/>
      <c r="I42" s="6" t="n"/>
    </row>
    <row r="43">
      <c r="A43" s="7" t="n">
        <v>46243</v>
      </c>
      <c r="B43" s="9" t="inlineStr">
        <is>
          <t>Dom</t>
        </is>
      </c>
      <c r="C43" s="6" t="n"/>
      <c r="D43" s="6" t="n"/>
      <c r="E43" s="6" t="n"/>
      <c r="F43" s="6" t="n"/>
      <c r="G43" s="6" t="n"/>
      <c r="H43" s="6" t="n"/>
      <c r="I43" s="6" t="n"/>
    </row>
    <row r="44">
      <c r="A44" s="12" t="n">
        <v>46244</v>
      </c>
      <c r="B44" s="6" t="inlineStr">
        <is>
          <t>Lun</t>
        </is>
      </c>
      <c r="C44" s="6" t="n"/>
      <c r="D44" s="6" t="n"/>
      <c r="E44" s="6" t="n"/>
      <c r="F44" s="6" t="n"/>
      <c r="G44" s="6" t="n"/>
      <c r="H44" s="6" t="n"/>
      <c r="I44" s="6" t="n"/>
    </row>
    <row r="45">
      <c r="A45" s="12" t="n">
        <v>46245</v>
      </c>
      <c r="B45" s="6" t="inlineStr">
        <is>
          <t>Mar</t>
        </is>
      </c>
      <c r="C45" s="6" t="n"/>
      <c r="D45" s="6" t="n"/>
      <c r="E45" s="6" t="n"/>
      <c r="F45" s="6" t="n"/>
      <c r="G45" s="6" t="n"/>
      <c r="H45" s="6" t="n"/>
      <c r="I45" s="6" t="n"/>
    </row>
    <row r="46">
      <c r="A46" s="12" t="n">
        <v>46246</v>
      </c>
      <c r="B46" s="6" t="inlineStr">
        <is>
          <t>Mie</t>
        </is>
      </c>
      <c r="C46" s="6" t="n"/>
      <c r="D46" s="6" t="n"/>
      <c r="E46" s="6" t="n"/>
      <c r="F46" s="6" t="n"/>
      <c r="G46" s="6" t="n"/>
      <c r="H46" s="6" t="n"/>
      <c r="I46" s="6" t="n"/>
    </row>
    <row r="47">
      <c r="A47" s="12" t="n">
        <v>46247</v>
      </c>
      <c r="B47" s="6" t="inlineStr">
        <is>
          <t>Jue</t>
        </is>
      </c>
      <c r="C47" s="6" t="n"/>
      <c r="D47" s="6" t="n"/>
      <c r="E47" s="6" t="n"/>
      <c r="F47" s="6" t="n"/>
      <c r="G47" s="6" t="n"/>
      <c r="H47" s="6" t="n"/>
      <c r="I47" s="6" t="n"/>
    </row>
    <row r="48">
      <c r="A48" s="12" t="n">
        <v>46248</v>
      </c>
      <c r="B48" s="6" t="inlineStr">
        <is>
          <t>Vie</t>
        </is>
      </c>
      <c r="C48" s="6" t="n"/>
      <c r="D48" s="6" t="n"/>
      <c r="E48" s="6" t="n"/>
      <c r="F48" s="6" t="n"/>
      <c r="G48" s="6" t="n"/>
      <c r="H48" s="6" t="n"/>
      <c r="I48" s="6" t="n"/>
    </row>
    <row r="49">
      <c r="A49" s="7" t="n">
        <v>46249</v>
      </c>
      <c r="B49" s="8" t="inlineStr">
        <is>
          <t>Sab</t>
        </is>
      </c>
      <c r="C49" s="6" t="n"/>
      <c r="D49" s="6" t="n"/>
      <c r="E49" s="6" t="n"/>
      <c r="F49" s="6" t="n"/>
      <c r="G49" s="6" t="n"/>
      <c r="H49" s="6" t="n"/>
      <c r="I49" s="6" t="n"/>
    </row>
    <row r="50">
      <c r="A50" s="7" t="n">
        <v>46250</v>
      </c>
      <c r="B50" s="9" t="inlineStr">
        <is>
          <t>Dom</t>
        </is>
      </c>
      <c r="C50" s="6" t="n"/>
      <c r="D50" s="6" t="n"/>
      <c r="E50" s="6" t="n"/>
      <c r="F50" s="6" t="n"/>
      <c r="G50" s="6" t="n"/>
      <c r="H50" s="6" t="n"/>
      <c r="I50" s="6" t="n"/>
    </row>
    <row r="51">
      <c r="A51" s="12" t="n">
        <v>46251</v>
      </c>
      <c r="B51" s="6" t="inlineStr">
        <is>
          <t>Lun</t>
        </is>
      </c>
      <c r="C51" s="6" t="n"/>
      <c r="D51" s="6" t="n"/>
      <c r="E51" s="6" t="n"/>
      <c r="F51" s="6" t="n"/>
      <c r="G51" s="6" t="n"/>
      <c r="H51" s="6" t="n"/>
      <c r="I51" s="6" t="n"/>
    </row>
    <row r="52">
      <c r="A52" s="12" t="n">
        <v>46252</v>
      </c>
      <c r="B52" s="6" t="inlineStr">
        <is>
          <t>Mar</t>
        </is>
      </c>
      <c r="C52" s="6" t="n"/>
      <c r="D52" s="6" t="n"/>
      <c r="E52" s="6" t="n"/>
      <c r="F52" s="6" t="n"/>
      <c r="G52" s="6" t="n"/>
      <c r="H52" s="6" t="n"/>
      <c r="I52" s="6" t="n"/>
    </row>
    <row r="53">
      <c r="A53" s="12" t="n">
        <v>46253</v>
      </c>
      <c r="B53" s="6" t="inlineStr">
        <is>
          <t>Mie</t>
        </is>
      </c>
      <c r="C53" s="6" t="n"/>
      <c r="D53" s="6" t="n"/>
      <c r="E53" s="6" t="n"/>
      <c r="F53" s="6" t="n"/>
      <c r="G53" s="6" t="n"/>
      <c r="H53" s="6" t="n"/>
      <c r="I53" s="6" t="n"/>
    </row>
    <row r="54">
      <c r="A54" s="12" t="n">
        <v>46254</v>
      </c>
      <c r="B54" s="6" t="inlineStr">
        <is>
          <t>Jue</t>
        </is>
      </c>
      <c r="C54" s="6" t="n"/>
      <c r="D54" s="6" t="n"/>
      <c r="E54" s="6" t="n"/>
      <c r="F54" s="6" t="n"/>
      <c r="G54" s="6" t="n"/>
      <c r="H54" s="6" t="n"/>
      <c r="I54" s="6" t="n"/>
    </row>
    <row r="55">
      <c r="A55" s="12" t="n">
        <v>46255</v>
      </c>
      <c r="B55" s="6" t="inlineStr">
        <is>
          <t>Vie</t>
        </is>
      </c>
      <c r="C55" s="6" t="n"/>
      <c r="D55" s="6" t="n"/>
      <c r="E55" s="6" t="n"/>
      <c r="F55" s="6" t="n"/>
      <c r="G55" s="6" t="n"/>
      <c r="H55" s="6" t="n"/>
      <c r="I55" s="6" t="n"/>
    </row>
    <row r="56">
      <c r="A56" s="7" t="n">
        <v>46256</v>
      </c>
      <c r="B56" s="8" t="inlineStr">
        <is>
          <t>Sab</t>
        </is>
      </c>
      <c r="C56" s="6" t="n"/>
      <c r="D56" s="6" t="n"/>
      <c r="E56" s="6" t="n"/>
      <c r="F56" s="6" t="n"/>
      <c r="G56" s="6" t="n"/>
      <c r="H56" s="6" t="n"/>
      <c r="I56" s="6" t="n"/>
    </row>
    <row r="57">
      <c r="A57" s="7" t="n">
        <v>46257</v>
      </c>
      <c r="B57" s="9" t="inlineStr">
        <is>
          <t>Dom</t>
        </is>
      </c>
      <c r="C57" s="6" t="n"/>
      <c r="D57" s="6" t="n"/>
      <c r="E57" s="6" t="n"/>
      <c r="F57" s="6" t="n"/>
      <c r="G57" s="6" t="n"/>
      <c r="H57" s="6" t="n"/>
      <c r="I57" s="6" t="n"/>
    </row>
    <row r="58">
      <c r="A58" s="12" t="n">
        <v>46258</v>
      </c>
      <c r="B58" s="6" t="inlineStr">
        <is>
          <t>Lun</t>
        </is>
      </c>
      <c r="C58" s="6" t="n"/>
      <c r="D58" s="6" t="n"/>
      <c r="E58" s="6" t="n"/>
      <c r="F58" s="6" t="n"/>
      <c r="G58" s="6" t="n"/>
      <c r="H58" s="6" t="n"/>
      <c r="I58" s="6" t="n"/>
    </row>
    <row r="59">
      <c r="A59" s="12" t="n">
        <v>46259</v>
      </c>
      <c r="B59" s="6" t="inlineStr">
        <is>
          <t>Mar</t>
        </is>
      </c>
      <c r="C59" s="6" t="n"/>
      <c r="D59" s="6" t="n"/>
      <c r="E59" s="6" t="n"/>
      <c r="F59" s="6" t="n"/>
      <c r="G59" s="6" t="n"/>
      <c r="H59" s="6" t="n"/>
      <c r="I59" s="6" t="n"/>
    </row>
    <row r="60">
      <c r="A60" s="12" t="n">
        <v>46260</v>
      </c>
      <c r="B60" s="6" t="inlineStr">
        <is>
          <t>Mie</t>
        </is>
      </c>
      <c r="C60" s="6" t="n"/>
      <c r="D60" s="6" t="n"/>
      <c r="E60" s="6" t="n"/>
      <c r="F60" s="6" t="n"/>
      <c r="G60" s="6" t="n"/>
      <c r="H60" s="6" t="n"/>
      <c r="I60" s="6" t="n"/>
    </row>
    <row r="61">
      <c r="A61" s="12" t="n">
        <v>46261</v>
      </c>
      <c r="B61" s="6" t="inlineStr">
        <is>
          <t>Jue</t>
        </is>
      </c>
      <c r="C61" s="6" t="n"/>
      <c r="D61" s="6" t="n"/>
      <c r="E61" s="6" t="n"/>
      <c r="F61" s="6" t="n"/>
      <c r="G61" s="6" t="n"/>
      <c r="H61" s="6" t="n"/>
      <c r="I61" s="6" t="n"/>
    </row>
    <row r="62">
      <c r="A62" s="12" t="n">
        <v>46262</v>
      </c>
      <c r="B62" s="6" t="inlineStr">
        <is>
          <t>Vie</t>
        </is>
      </c>
      <c r="C62" s="6" t="n"/>
      <c r="D62" s="6" t="n"/>
      <c r="E62" s="6" t="n"/>
      <c r="F62" s="6" t="n"/>
      <c r="G62" s="6" t="n"/>
      <c r="H62" s="6" t="n"/>
      <c r="I62" s="6" t="n"/>
    </row>
    <row r="63">
      <c r="A63" s="7" t="n">
        <v>46263</v>
      </c>
      <c r="B63" s="8" t="inlineStr">
        <is>
          <t>Sab</t>
        </is>
      </c>
      <c r="C63" s="6" t="n"/>
      <c r="D63" s="6" t="n"/>
      <c r="E63" s="6" t="n"/>
      <c r="F63" s="6" t="n"/>
      <c r="G63" s="6" t="n"/>
      <c r="H63" s="6" t="n"/>
      <c r="I63" s="6" t="n"/>
    </row>
    <row r="64">
      <c r="A64" s="7" t="n">
        <v>46264</v>
      </c>
      <c r="B64" s="9" t="inlineStr">
        <is>
          <t>Dom</t>
        </is>
      </c>
      <c r="C64" s="6" t="n"/>
      <c r="D64" s="6" t="n"/>
      <c r="E64" s="6" t="n"/>
      <c r="F64" s="6" t="n"/>
      <c r="G64" s="6" t="n"/>
      <c r="H64" s="6" t="n"/>
      <c r="I64" s="6" t="n"/>
    </row>
    <row r="65">
      <c r="A65" s="12" t="n">
        <v>46265</v>
      </c>
      <c r="B65" s="6" t="inlineStr">
        <is>
          <t>Lun</t>
        </is>
      </c>
      <c r="C65" s="6" t="n"/>
      <c r="D65" s="6" t="n"/>
      <c r="E65" s="6" t="n"/>
      <c r="F65" s="6" t="n"/>
      <c r="G65" s="6" t="n"/>
      <c r="H65" s="6" t="n"/>
      <c r="I65" s="6" t="n"/>
    </row>
    <row r="68">
      <c r="A68" s="13" t="inlineStr">
        <is>
          <t>LEYENDA</t>
        </is>
      </c>
    </row>
    <row r="69">
      <c r="B69" s="14" t="inlineStr">
        <is>
          <t>TM -&gt; Trabajar manana (~08-15)</t>
        </is>
      </c>
      <c r="C69" s="15" t="n"/>
      <c r="D69" s="15" t="n"/>
      <c r="E69" s="16" t="n"/>
    </row>
    <row r="70">
      <c r="B70" s="17" t="inlineStr">
        <is>
          <t>TT -&gt; Trabajar tarde (~15-21)</t>
        </is>
      </c>
      <c r="C70" s="15" t="n"/>
      <c r="D70" s="15" t="n"/>
      <c r="E70" s="16" t="n"/>
    </row>
    <row r="71">
      <c r="B71" s="18" t="inlineStr">
        <is>
          <t>TN -&gt; Trabajar noche (~21-08)</t>
        </is>
      </c>
      <c r="C71" s="15" t="n"/>
      <c r="D71" s="15" t="n"/>
      <c r="E71" s="16" t="n"/>
    </row>
    <row r="72">
      <c r="B72" s="19" t="inlineStr">
        <is>
          <t>FV -&gt; Fuera (puedo volver)</t>
        </is>
      </c>
      <c r="C72" s="15" t="n"/>
      <c r="D72" s="15" t="n"/>
      <c r="E72" s="16" t="n"/>
    </row>
    <row r="73">
      <c r="B73" s="20" t="inlineStr">
        <is>
          <t>FN -&gt; Fuera (NO volver)</t>
        </is>
      </c>
      <c r="C73" s="15" t="n"/>
      <c r="D73" s="15" t="n"/>
      <c r="E73" s="16" t="n"/>
    </row>
    <row r="74">
      <c r="B74" s="21" t="inlineStr">
        <is>
          <t>OC -&gt; Ocupado</t>
        </is>
      </c>
      <c r="C74" s="15" t="n"/>
      <c r="D74" s="15" t="n"/>
      <c r="E74" s="16" t="n"/>
    </row>
    <row r="75">
      <c r="B75" s="22" t="inlineStr">
        <is>
          <t>RE -&gt; Recuperaciones</t>
        </is>
      </c>
      <c r="C75" s="15" t="n"/>
      <c r="D75" s="15" t="n"/>
      <c r="E75" s="16" t="n"/>
    </row>
    <row r="76">
      <c r="B76" s="23" t="inlineStr">
        <is>
          <t>OT -&gt; Otros</t>
        </is>
      </c>
      <c r="C76" s="15" t="n"/>
      <c r="D76" s="15" t="n"/>
      <c r="E76" s="16" t="n"/>
    </row>
    <row r="77">
      <c r="B77" s="24" t="inlineStr">
        <is>
          <t>CL -&gt; Clases</t>
        </is>
      </c>
      <c r="C77" s="15" t="n"/>
      <c r="D77" s="15" t="n"/>
      <c r="E77" s="16" t="n"/>
    </row>
    <row r="78">
      <c r="B78" s="25" t="inlineStr">
        <is>
          <t>(vacio = disponible)</t>
        </is>
      </c>
    </row>
  </sheetData>
  <mergeCells count="11">
    <mergeCell ref="A2:B2"/>
    <mergeCell ref="B71:E71"/>
    <mergeCell ref="B75:E75"/>
    <mergeCell ref="B73:E73"/>
    <mergeCell ref="B74:E74"/>
    <mergeCell ref="B69:E69"/>
    <mergeCell ref="B70:E70"/>
    <mergeCell ref="B77:E77"/>
    <mergeCell ref="B72:E72"/>
    <mergeCell ref="A34:B34"/>
    <mergeCell ref="B76:E76"/>
  </mergeCells>
  <conditionalFormatting sqref="C2:I65">
    <cfRule type="cellIs" priority="1" operator="equal" dxfId="0">
      <formula>"TM"</formula>
    </cfRule>
    <cfRule type="cellIs" priority="2" operator="equal" dxfId="1">
      <formula>"TT"</formula>
    </cfRule>
    <cfRule type="expression" priority="3" dxfId="2">
      <formula>C2="TN"</formula>
    </cfRule>
    <cfRule type="cellIs" priority="4" operator="equal" dxfId="3">
      <formula>"FV"</formula>
    </cfRule>
    <cfRule type="expression" priority="5" dxfId="4">
      <formula>C2="FN"</formula>
    </cfRule>
    <cfRule type="expression" priority="6" dxfId="5">
      <formula>C2="OC"</formula>
    </cfRule>
    <cfRule type="expression" priority="7" dxfId="6">
      <formula>C2="RE"</formula>
    </cfRule>
    <cfRule type="expression" priority="8" dxfId="7">
      <formula>C2="OT"</formula>
    </cfRule>
    <cfRule type="expression" priority="9" dxfId="8">
      <formula>C2="CL"</formula>
    </cfRule>
  </conditionalFormatting>
  <dataValidations count="1">
    <dataValidation sqref="C2:I65" showDropDown="0" showInputMessage="0" showErrorMessage="1" allowBlank="1" errorTitle="Valor no valido" error="Usa: TM, TT, TN, FV, FN, OC, RE, OT, CL" promptTitle="Disponibilidad" prompt="Selecciona: TM / TT / TN / FV / FN / OC / RE / OT / CL" type="list">
      <formula1>"TM,TT,TN,FV,FN,OC,RE,OT,CL"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46" customHeight="1">
      <c r="A1" s="26" t="inlineStr">
        <is>
          <t xml:space="preserve">  PANEL DE DISPONIBILIDAD  —  JULIO &amp; AGOSTO 2026</t>
        </is>
      </c>
    </row>
    <row r="2" ht="48" customHeight="1">
      <c r="B2" s="27" t="inlineStr">
        <is>
          <t>TOTAL DIAS</t>
        </is>
      </c>
      <c r="C2" s="28" t="inlineStr">
        <is>
          <t>62</t>
        </is>
      </c>
      <c r="E2" s="29" t="inlineStr">
        <is>
          <t>TODOS LIBRES</t>
        </is>
      </c>
      <c r="F2" s="30">
        <f>COUNTIF(J6:J67,"SI")</f>
        <v/>
      </c>
      <c r="H2" s="29" t="inlineStr">
        <is>
          <t>MAX 1 OCUPADO</t>
        </is>
      </c>
      <c r="I2" s="30">
        <f>COUNTIF(K6:K67,"SI")</f>
        <v/>
      </c>
      <c r="K2" s="29" t="inlineStr">
        <is>
          <t>MAX 2 OCUPADOS</t>
        </is>
      </c>
      <c r="L2" s="30">
        <f>COUNTIF(L6:L67,"SI")</f>
        <v/>
      </c>
      <c r="N2" s="29" t="inlineStr">
        <is>
          <t>MAX 3 OCUPADOS</t>
        </is>
      </c>
      <c r="O2" s="30">
        <f>COUNTIF(M6:M67,"SI")</f>
        <v/>
      </c>
    </row>
    <row r="3" ht="4" customHeight="1"/>
    <row r="4" ht="38" customHeight="1">
      <c r="A4" s="31" t="inlineStr">
        <is>
          <t>Fecha</t>
        </is>
      </c>
      <c r="B4" s="31" t="inlineStr">
        <is>
          <t>Dia</t>
        </is>
      </c>
      <c r="C4" s="31" t="inlineStr">
        <is>
          <t>Libres</t>
        </is>
      </c>
      <c r="D4" s="31" t="inlineStr">
        <is>
          <t>TM</t>
        </is>
      </c>
      <c r="E4" s="31" t="inlineStr">
        <is>
          <t>TT</t>
        </is>
      </c>
      <c r="F4" s="31" t="inlineStr">
        <is>
          <t>TN</t>
        </is>
      </c>
      <c r="G4" s="31" t="inlineStr">
        <is>
          <t>FV</t>
        </is>
      </c>
      <c r="H4" s="31" t="inlineStr">
        <is>
          <t>FN</t>
        </is>
      </c>
      <c r="I4" s="31" t="inlineStr">
        <is>
          <t>Ocupados
(TM+TT+TN)</t>
        </is>
      </c>
      <c r="J4" s="31" t="inlineStr">
        <is>
          <t>Todos
libres</t>
        </is>
      </c>
      <c r="K4" s="31" t="inlineStr">
        <is>
          <t>Todos -1</t>
        </is>
      </c>
      <c r="L4" s="31" t="inlineStr">
        <is>
          <t>Todos -2</t>
        </is>
      </c>
      <c r="M4" s="31" t="inlineStr">
        <is>
          <t>Todos -3</t>
        </is>
      </c>
      <c r="N4" s="31" t="inlineStr">
        <is>
          <t>Todos
FN</t>
        </is>
      </c>
      <c r="O4" s="31" t="inlineStr">
        <is>
          <t>% Disponible</t>
        </is>
      </c>
    </row>
    <row r="5">
      <c r="J5" s="32" t="inlineStr">
        <is>
          <t>Umbrales: minimo de personas libres</t>
        </is>
      </c>
    </row>
    <row r="6">
      <c r="A6" s="33" t="n">
        <v>46204</v>
      </c>
      <c r="B6" s="6" t="inlineStr">
        <is>
          <t>Mie</t>
        </is>
      </c>
      <c r="C6" s="6">
        <f>COUNTIF(Calendario!C3:I3,"")</f>
        <v/>
      </c>
      <c r="D6" s="6">
        <f>COUNTIF(Calendario!C3:I3,"TM")</f>
        <v/>
      </c>
      <c r="E6" s="6">
        <f>COUNTIF(Calendario!C3:I3,"TT")</f>
        <v/>
      </c>
      <c r="F6" s="6">
        <f>COUNTIF(Calendario!C3:I3,"TN")</f>
        <v/>
      </c>
      <c r="G6" s="6">
        <f>COUNTIF(Calendario!C3:I3,"FV")</f>
        <v/>
      </c>
      <c r="H6" s="6">
        <f>COUNTIF(Calendario!C3:I3,"FN")</f>
        <v/>
      </c>
      <c r="I6" s="6">
        <f>D6+E6+F6</f>
        <v/>
      </c>
      <c r="J6" s="6">
        <f>IF(C6&gt;=7,"SI","")</f>
        <v/>
      </c>
      <c r="K6" s="6">
        <f>IF(C6&gt;=6,"SI","")</f>
        <v/>
      </c>
      <c r="L6" s="6">
        <f>IF(C6&gt;=5,"SI","")</f>
        <v/>
      </c>
      <c r="M6" s="6">
        <f>IF(C6&gt;=4,"SI","")</f>
        <v/>
      </c>
      <c r="N6" s="6">
        <f>IF(H6=7,"SI","")</f>
        <v/>
      </c>
      <c r="O6" s="34">
        <f>C6/7</f>
        <v/>
      </c>
    </row>
    <row r="7">
      <c r="A7" s="35" t="n">
        <v>46205</v>
      </c>
      <c r="B7" s="36" t="inlineStr">
        <is>
          <t>Jue</t>
        </is>
      </c>
      <c r="C7" s="6">
        <f>COUNTIF(Calendario!C4:I4,"")</f>
        <v/>
      </c>
      <c r="D7" s="6">
        <f>COUNTIF(Calendario!C4:I4,"TM")</f>
        <v/>
      </c>
      <c r="E7" s="6">
        <f>COUNTIF(Calendario!C4:I4,"TT")</f>
        <v/>
      </c>
      <c r="F7" s="6">
        <f>COUNTIF(Calendario!C4:I4,"TN")</f>
        <v/>
      </c>
      <c r="G7" s="6">
        <f>COUNTIF(Calendario!C4:I4,"FV")</f>
        <v/>
      </c>
      <c r="H7" s="6">
        <f>COUNTIF(Calendario!C4:I4,"FN")</f>
        <v/>
      </c>
      <c r="I7" s="6">
        <f>D7+E7+F7</f>
        <v/>
      </c>
      <c r="J7" s="6">
        <f>IF(C7&gt;=7,"SI","")</f>
        <v/>
      </c>
      <c r="K7" s="6">
        <f>IF(C7&gt;=6,"SI","")</f>
        <v/>
      </c>
      <c r="L7" s="6">
        <f>IF(C7&gt;=5,"SI","")</f>
        <v/>
      </c>
      <c r="M7" s="6">
        <f>IF(C7&gt;=4,"SI","")</f>
        <v/>
      </c>
      <c r="N7" s="6">
        <f>IF(H7=7,"SI","")</f>
        <v/>
      </c>
      <c r="O7" s="34">
        <f>C7/7</f>
        <v/>
      </c>
    </row>
    <row r="8">
      <c r="A8" s="33" t="n">
        <v>46206</v>
      </c>
      <c r="B8" s="6" t="inlineStr">
        <is>
          <t>Vie</t>
        </is>
      </c>
      <c r="C8" s="6">
        <f>COUNTIF(Calendario!C5:I5,"")</f>
        <v/>
      </c>
      <c r="D8" s="6">
        <f>COUNTIF(Calendario!C5:I5,"TM")</f>
        <v/>
      </c>
      <c r="E8" s="6">
        <f>COUNTIF(Calendario!C5:I5,"TT")</f>
        <v/>
      </c>
      <c r="F8" s="6">
        <f>COUNTIF(Calendario!C5:I5,"TN")</f>
        <v/>
      </c>
      <c r="G8" s="6">
        <f>COUNTIF(Calendario!C5:I5,"FV")</f>
        <v/>
      </c>
      <c r="H8" s="6">
        <f>COUNTIF(Calendario!C5:I5,"FN")</f>
        <v/>
      </c>
      <c r="I8" s="6">
        <f>D8+E8+F8</f>
        <v/>
      </c>
      <c r="J8" s="6">
        <f>IF(C8&gt;=7,"SI","")</f>
        <v/>
      </c>
      <c r="K8" s="6">
        <f>IF(C8&gt;=6,"SI","")</f>
        <v/>
      </c>
      <c r="L8" s="6">
        <f>IF(C8&gt;=5,"SI","")</f>
        <v/>
      </c>
      <c r="M8" s="6">
        <f>IF(C8&gt;=4,"SI","")</f>
        <v/>
      </c>
      <c r="N8" s="6">
        <f>IF(H8=7,"SI","")</f>
        <v/>
      </c>
      <c r="O8" s="34">
        <f>C8/7</f>
        <v/>
      </c>
    </row>
    <row r="9">
      <c r="A9" s="7" t="n">
        <v>46207</v>
      </c>
      <c r="B9" s="8" t="inlineStr">
        <is>
          <t>Sab</t>
        </is>
      </c>
      <c r="C9" s="6">
        <f>COUNTIF(Calendario!C6:I6,"")</f>
        <v/>
      </c>
      <c r="D9" s="6">
        <f>COUNTIF(Calendario!C6:I6,"TM")</f>
        <v/>
      </c>
      <c r="E9" s="6">
        <f>COUNTIF(Calendario!C6:I6,"TT")</f>
        <v/>
      </c>
      <c r="F9" s="6">
        <f>COUNTIF(Calendario!C6:I6,"TN")</f>
        <v/>
      </c>
      <c r="G9" s="6">
        <f>COUNTIF(Calendario!C6:I6,"FV")</f>
        <v/>
      </c>
      <c r="H9" s="6">
        <f>COUNTIF(Calendario!C6:I6,"FN")</f>
        <v/>
      </c>
      <c r="I9" s="6">
        <f>D9+E9+F9</f>
        <v/>
      </c>
      <c r="J9" s="6">
        <f>IF(C9&gt;=7,"SI","")</f>
        <v/>
      </c>
      <c r="K9" s="6">
        <f>IF(C9&gt;=6,"SI","")</f>
        <v/>
      </c>
      <c r="L9" s="6">
        <f>IF(C9&gt;=5,"SI","")</f>
        <v/>
      </c>
      <c r="M9" s="6">
        <f>IF(C9&gt;=4,"SI","")</f>
        <v/>
      </c>
      <c r="N9" s="6">
        <f>IF(H9=7,"SI","")</f>
        <v/>
      </c>
      <c r="O9" s="34">
        <f>C9/7</f>
        <v/>
      </c>
    </row>
    <row r="10">
      <c r="A10" s="7" t="n">
        <v>46208</v>
      </c>
      <c r="B10" s="8" t="inlineStr">
        <is>
          <t>Dom</t>
        </is>
      </c>
      <c r="C10" s="6">
        <f>COUNTIF(Calendario!C7:I7,"")</f>
        <v/>
      </c>
      <c r="D10" s="6">
        <f>COUNTIF(Calendario!C7:I7,"TM")</f>
        <v/>
      </c>
      <c r="E10" s="6">
        <f>COUNTIF(Calendario!C7:I7,"TT")</f>
        <v/>
      </c>
      <c r="F10" s="6">
        <f>COUNTIF(Calendario!C7:I7,"TN")</f>
        <v/>
      </c>
      <c r="G10" s="6">
        <f>COUNTIF(Calendario!C7:I7,"FV")</f>
        <v/>
      </c>
      <c r="H10" s="6">
        <f>COUNTIF(Calendario!C7:I7,"FN")</f>
        <v/>
      </c>
      <c r="I10" s="6">
        <f>D10+E10+F10</f>
        <v/>
      </c>
      <c r="J10" s="6">
        <f>IF(C10&gt;=7,"SI","")</f>
        <v/>
      </c>
      <c r="K10" s="6">
        <f>IF(C10&gt;=6,"SI","")</f>
        <v/>
      </c>
      <c r="L10" s="6">
        <f>IF(C10&gt;=5,"SI","")</f>
        <v/>
      </c>
      <c r="M10" s="6">
        <f>IF(C10&gt;=4,"SI","")</f>
        <v/>
      </c>
      <c r="N10" s="6">
        <f>IF(H10=7,"SI","")</f>
        <v/>
      </c>
      <c r="O10" s="34">
        <f>C10/7</f>
        <v/>
      </c>
    </row>
    <row r="11">
      <c r="A11" s="35" t="n">
        <v>46209</v>
      </c>
      <c r="B11" s="36" t="inlineStr">
        <is>
          <t>Lun</t>
        </is>
      </c>
      <c r="C11" s="6">
        <f>COUNTIF(Calendario!C8:I8,"")</f>
        <v/>
      </c>
      <c r="D11" s="6">
        <f>COUNTIF(Calendario!C8:I8,"TM")</f>
        <v/>
      </c>
      <c r="E11" s="6">
        <f>COUNTIF(Calendario!C8:I8,"TT")</f>
        <v/>
      </c>
      <c r="F11" s="6">
        <f>COUNTIF(Calendario!C8:I8,"TN")</f>
        <v/>
      </c>
      <c r="G11" s="6">
        <f>COUNTIF(Calendario!C8:I8,"FV")</f>
        <v/>
      </c>
      <c r="H11" s="6">
        <f>COUNTIF(Calendario!C8:I8,"FN")</f>
        <v/>
      </c>
      <c r="I11" s="6">
        <f>D11+E11+F11</f>
        <v/>
      </c>
      <c r="J11" s="6">
        <f>IF(C11&gt;=7,"SI","")</f>
        <v/>
      </c>
      <c r="K11" s="6">
        <f>IF(C11&gt;=6,"SI","")</f>
        <v/>
      </c>
      <c r="L11" s="6">
        <f>IF(C11&gt;=5,"SI","")</f>
        <v/>
      </c>
      <c r="M11" s="6">
        <f>IF(C11&gt;=4,"SI","")</f>
        <v/>
      </c>
      <c r="N11" s="6">
        <f>IF(H11=7,"SI","")</f>
        <v/>
      </c>
      <c r="O11" s="34">
        <f>C11/7</f>
        <v/>
      </c>
    </row>
    <row r="12">
      <c r="A12" s="33" t="n">
        <v>46210</v>
      </c>
      <c r="B12" s="6" t="inlineStr">
        <is>
          <t>Mar</t>
        </is>
      </c>
      <c r="C12" s="6">
        <f>COUNTIF(Calendario!C9:I9,"")</f>
        <v/>
      </c>
      <c r="D12" s="6">
        <f>COUNTIF(Calendario!C9:I9,"TM")</f>
        <v/>
      </c>
      <c r="E12" s="6">
        <f>COUNTIF(Calendario!C9:I9,"TT")</f>
        <v/>
      </c>
      <c r="F12" s="6">
        <f>COUNTIF(Calendario!C9:I9,"TN")</f>
        <v/>
      </c>
      <c r="G12" s="6">
        <f>COUNTIF(Calendario!C9:I9,"FV")</f>
        <v/>
      </c>
      <c r="H12" s="6">
        <f>COUNTIF(Calendario!C9:I9,"FN")</f>
        <v/>
      </c>
      <c r="I12" s="6">
        <f>D12+E12+F12</f>
        <v/>
      </c>
      <c r="J12" s="6">
        <f>IF(C12&gt;=7,"SI","")</f>
        <v/>
      </c>
      <c r="K12" s="6">
        <f>IF(C12&gt;=6,"SI","")</f>
        <v/>
      </c>
      <c r="L12" s="6">
        <f>IF(C12&gt;=5,"SI","")</f>
        <v/>
      </c>
      <c r="M12" s="6">
        <f>IF(C12&gt;=4,"SI","")</f>
        <v/>
      </c>
      <c r="N12" s="6">
        <f>IF(H12=7,"SI","")</f>
        <v/>
      </c>
      <c r="O12" s="34">
        <f>C12/7</f>
        <v/>
      </c>
    </row>
    <row r="13">
      <c r="A13" s="35" t="n">
        <v>46211</v>
      </c>
      <c r="B13" s="36" t="inlineStr">
        <is>
          <t>Mie</t>
        </is>
      </c>
      <c r="C13" s="6">
        <f>COUNTIF(Calendario!C10:I10,"")</f>
        <v/>
      </c>
      <c r="D13" s="6">
        <f>COUNTIF(Calendario!C10:I10,"TM")</f>
        <v/>
      </c>
      <c r="E13" s="6">
        <f>COUNTIF(Calendario!C10:I10,"TT")</f>
        <v/>
      </c>
      <c r="F13" s="6">
        <f>COUNTIF(Calendario!C10:I10,"TN")</f>
        <v/>
      </c>
      <c r="G13" s="6">
        <f>COUNTIF(Calendario!C10:I10,"FV")</f>
        <v/>
      </c>
      <c r="H13" s="6">
        <f>COUNTIF(Calendario!C10:I10,"FN")</f>
        <v/>
      </c>
      <c r="I13" s="6">
        <f>D13+E13+F13</f>
        <v/>
      </c>
      <c r="J13" s="6">
        <f>IF(C13&gt;=7,"SI","")</f>
        <v/>
      </c>
      <c r="K13" s="6">
        <f>IF(C13&gt;=6,"SI","")</f>
        <v/>
      </c>
      <c r="L13" s="6">
        <f>IF(C13&gt;=5,"SI","")</f>
        <v/>
      </c>
      <c r="M13" s="6">
        <f>IF(C13&gt;=4,"SI","")</f>
        <v/>
      </c>
      <c r="N13" s="6">
        <f>IF(H13=7,"SI","")</f>
        <v/>
      </c>
      <c r="O13" s="34">
        <f>C13/7</f>
        <v/>
      </c>
    </row>
    <row r="14">
      <c r="A14" s="33" t="n">
        <v>46212</v>
      </c>
      <c r="B14" s="6" t="inlineStr">
        <is>
          <t>Jue</t>
        </is>
      </c>
      <c r="C14" s="6">
        <f>COUNTIF(Calendario!C11:I11,"")</f>
        <v/>
      </c>
      <c r="D14" s="6">
        <f>COUNTIF(Calendario!C11:I11,"TM")</f>
        <v/>
      </c>
      <c r="E14" s="6">
        <f>COUNTIF(Calendario!C11:I11,"TT")</f>
        <v/>
      </c>
      <c r="F14" s="6">
        <f>COUNTIF(Calendario!C11:I11,"TN")</f>
        <v/>
      </c>
      <c r="G14" s="6">
        <f>COUNTIF(Calendario!C11:I11,"FV")</f>
        <v/>
      </c>
      <c r="H14" s="6">
        <f>COUNTIF(Calendario!C11:I11,"FN")</f>
        <v/>
      </c>
      <c r="I14" s="6">
        <f>D14+E14+F14</f>
        <v/>
      </c>
      <c r="J14" s="6">
        <f>IF(C14&gt;=7,"SI","")</f>
        <v/>
      </c>
      <c r="K14" s="6">
        <f>IF(C14&gt;=6,"SI","")</f>
        <v/>
      </c>
      <c r="L14" s="6">
        <f>IF(C14&gt;=5,"SI","")</f>
        <v/>
      </c>
      <c r="M14" s="6">
        <f>IF(C14&gt;=4,"SI","")</f>
        <v/>
      </c>
      <c r="N14" s="6">
        <f>IF(H14=7,"SI","")</f>
        <v/>
      </c>
      <c r="O14" s="34">
        <f>C14/7</f>
        <v/>
      </c>
    </row>
    <row r="15">
      <c r="A15" s="35" t="n">
        <v>46213</v>
      </c>
      <c r="B15" s="36" t="inlineStr">
        <is>
          <t>Vie</t>
        </is>
      </c>
      <c r="C15" s="6">
        <f>COUNTIF(Calendario!C12:I12,"")</f>
        <v/>
      </c>
      <c r="D15" s="6">
        <f>COUNTIF(Calendario!C12:I12,"TM")</f>
        <v/>
      </c>
      <c r="E15" s="6">
        <f>COUNTIF(Calendario!C12:I12,"TT")</f>
        <v/>
      </c>
      <c r="F15" s="6">
        <f>COUNTIF(Calendario!C12:I12,"TN")</f>
        <v/>
      </c>
      <c r="G15" s="6">
        <f>COUNTIF(Calendario!C12:I12,"FV")</f>
        <v/>
      </c>
      <c r="H15" s="6">
        <f>COUNTIF(Calendario!C12:I12,"FN")</f>
        <v/>
      </c>
      <c r="I15" s="6">
        <f>D15+E15+F15</f>
        <v/>
      </c>
      <c r="J15" s="6">
        <f>IF(C15&gt;=7,"SI","")</f>
        <v/>
      </c>
      <c r="K15" s="6">
        <f>IF(C15&gt;=6,"SI","")</f>
        <v/>
      </c>
      <c r="L15" s="6">
        <f>IF(C15&gt;=5,"SI","")</f>
        <v/>
      </c>
      <c r="M15" s="6">
        <f>IF(C15&gt;=4,"SI","")</f>
        <v/>
      </c>
      <c r="N15" s="6">
        <f>IF(H15=7,"SI","")</f>
        <v/>
      </c>
      <c r="O15" s="34">
        <f>C15/7</f>
        <v/>
      </c>
    </row>
    <row r="16">
      <c r="A16" s="7" t="n">
        <v>46214</v>
      </c>
      <c r="B16" s="8" t="inlineStr">
        <is>
          <t>Sab</t>
        </is>
      </c>
      <c r="C16" s="6">
        <f>COUNTIF(Calendario!C13:I13,"")</f>
        <v/>
      </c>
      <c r="D16" s="6">
        <f>COUNTIF(Calendario!C13:I13,"TM")</f>
        <v/>
      </c>
      <c r="E16" s="6">
        <f>COUNTIF(Calendario!C13:I13,"TT")</f>
        <v/>
      </c>
      <c r="F16" s="6">
        <f>COUNTIF(Calendario!C13:I13,"TN")</f>
        <v/>
      </c>
      <c r="G16" s="6">
        <f>COUNTIF(Calendario!C13:I13,"FV")</f>
        <v/>
      </c>
      <c r="H16" s="6">
        <f>COUNTIF(Calendario!C13:I13,"FN")</f>
        <v/>
      </c>
      <c r="I16" s="6">
        <f>D16+E16+F16</f>
        <v/>
      </c>
      <c r="J16" s="6">
        <f>IF(C16&gt;=7,"SI","")</f>
        <v/>
      </c>
      <c r="K16" s="6">
        <f>IF(C16&gt;=6,"SI","")</f>
        <v/>
      </c>
      <c r="L16" s="6">
        <f>IF(C16&gt;=5,"SI","")</f>
        <v/>
      </c>
      <c r="M16" s="6">
        <f>IF(C16&gt;=4,"SI","")</f>
        <v/>
      </c>
      <c r="N16" s="6">
        <f>IF(H16=7,"SI","")</f>
        <v/>
      </c>
      <c r="O16" s="34">
        <f>C16/7</f>
        <v/>
      </c>
    </row>
    <row r="17">
      <c r="A17" s="7" t="n">
        <v>46215</v>
      </c>
      <c r="B17" s="8" t="inlineStr">
        <is>
          <t>Dom</t>
        </is>
      </c>
      <c r="C17" s="6">
        <f>COUNTIF(Calendario!C14:I14,"")</f>
        <v/>
      </c>
      <c r="D17" s="6">
        <f>COUNTIF(Calendario!C14:I14,"TM")</f>
        <v/>
      </c>
      <c r="E17" s="6">
        <f>COUNTIF(Calendario!C14:I14,"TT")</f>
        <v/>
      </c>
      <c r="F17" s="6">
        <f>COUNTIF(Calendario!C14:I14,"TN")</f>
        <v/>
      </c>
      <c r="G17" s="6">
        <f>COUNTIF(Calendario!C14:I14,"FV")</f>
        <v/>
      </c>
      <c r="H17" s="6">
        <f>COUNTIF(Calendario!C14:I14,"FN")</f>
        <v/>
      </c>
      <c r="I17" s="6">
        <f>D17+E17+F17</f>
        <v/>
      </c>
      <c r="J17" s="6">
        <f>IF(C17&gt;=7,"SI","")</f>
        <v/>
      </c>
      <c r="K17" s="6">
        <f>IF(C17&gt;=6,"SI","")</f>
        <v/>
      </c>
      <c r="L17" s="6">
        <f>IF(C17&gt;=5,"SI","")</f>
        <v/>
      </c>
      <c r="M17" s="6">
        <f>IF(C17&gt;=4,"SI","")</f>
        <v/>
      </c>
      <c r="N17" s="6">
        <f>IF(H17=7,"SI","")</f>
        <v/>
      </c>
      <c r="O17" s="34">
        <f>C17/7</f>
        <v/>
      </c>
    </row>
    <row r="18">
      <c r="A18" s="33" t="n">
        <v>46216</v>
      </c>
      <c r="B18" s="6" t="inlineStr">
        <is>
          <t>Lun</t>
        </is>
      </c>
      <c r="C18" s="6">
        <f>COUNTIF(Calendario!C15:I15,"")</f>
        <v/>
      </c>
      <c r="D18" s="6">
        <f>COUNTIF(Calendario!C15:I15,"TM")</f>
        <v/>
      </c>
      <c r="E18" s="6">
        <f>COUNTIF(Calendario!C15:I15,"TT")</f>
        <v/>
      </c>
      <c r="F18" s="6">
        <f>COUNTIF(Calendario!C15:I15,"TN")</f>
        <v/>
      </c>
      <c r="G18" s="6">
        <f>COUNTIF(Calendario!C15:I15,"FV")</f>
        <v/>
      </c>
      <c r="H18" s="6">
        <f>COUNTIF(Calendario!C15:I15,"FN")</f>
        <v/>
      </c>
      <c r="I18" s="6">
        <f>D18+E18+F18</f>
        <v/>
      </c>
      <c r="J18" s="6">
        <f>IF(C18&gt;=7,"SI","")</f>
        <v/>
      </c>
      <c r="K18" s="6">
        <f>IF(C18&gt;=6,"SI","")</f>
        <v/>
      </c>
      <c r="L18" s="6">
        <f>IF(C18&gt;=5,"SI","")</f>
        <v/>
      </c>
      <c r="M18" s="6">
        <f>IF(C18&gt;=4,"SI","")</f>
        <v/>
      </c>
      <c r="N18" s="6">
        <f>IF(H18=7,"SI","")</f>
        <v/>
      </c>
      <c r="O18" s="34">
        <f>C18/7</f>
        <v/>
      </c>
    </row>
    <row r="19">
      <c r="A19" s="35" t="n">
        <v>46217</v>
      </c>
      <c r="B19" s="36" t="inlineStr">
        <is>
          <t>Mar</t>
        </is>
      </c>
      <c r="C19" s="6">
        <f>COUNTIF(Calendario!C16:I16,"")</f>
        <v/>
      </c>
      <c r="D19" s="6">
        <f>COUNTIF(Calendario!C16:I16,"TM")</f>
        <v/>
      </c>
      <c r="E19" s="6">
        <f>COUNTIF(Calendario!C16:I16,"TT")</f>
        <v/>
      </c>
      <c r="F19" s="6">
        <f>COUNTIF(Calendario!C16:I16,"TN")</f>
        <v/>
      </c>
      <c r="G19" s="6">
        <f>COUNTIF(Calendario!C16:I16,"FV")</f>
        <v/>
      </c>
      <c r="H19" s="6">
        <f>COUNTIF(Calendario!C16:I16,"FN")</f>
        <v/>
      </c>
      <c r="I19" s="6">
        <f>D19+E19+F19</f>
        <v/>
      </c>
      <c r="J19" s="6">
        <f>IF(C19&gt;=7,"SI","")</f>
        <v/>
      </c>
      <c r="K19" s="6">
        <f>IF(C19&gt;=6,"SI","")</f>
        <v/>
      </c>
      <c r="L19" s="6">
        <f>IF(C19&gt;=5,"SI","")</f>
        <v/>
      </c>
      <c r="M19" s="6">
        <f>IF(C19&gt;=4,"SI","")</f>
        <v/>
      </c>
      <c r="N19" s="6">
        <f>IF(H19=7,"SI","")</f>
        <v/>
      </c>
      <c r="O19" s="34">
        <f>C19/7</f>
        <v/>
      </c>
    </row>
    <row r="20">
      <c r="A20" s="33" t="n">
        <v>46218</v>
      </c>
      <c r="B20" s="6" t="inlineStr">
        <is>
          <t>Mie</t>
        </is>
      </c>
      <c r="C20" s="6">
        <f>COUNTIF(Calendario!C17:I17,"")</f>
        <v/>
      </c>
      <c r="D20" s="6">
        <f>COUNTIF(Calendario!C17:I17,"TM")</f>
        <v/>
      </c>
      <c r="E20" s="6">
        <f>COUNTIF(Calendario!C17:I17,"TT")</f>
        <v/>
      </c>
      <c r="F20" s="6">
        <f>COUNTIF(Calendario!C17:I17,"TN")</f>
        <v/>
      </c>
      <c r="G20" s="6">
        <f>COUNTIF(Calendario!C17:I17,"FV")</f>
        <v/>
      </c>
      <c r="H20" s="6">
        <f>COUNTIF(Calendario!C17:I17,"FN")</f>
        <v/>
      </c>
      <c r="I20" s="6">
        <f>D20+E20+F20</f>
        <v/>
      </c>
      <c r="J20" s="6">
        <f>IF(C20&gt;=7,"SI","")</f>
        <v/>
      </c>
      <c r="K20" s="6">
        <f>IF(C20&gt;=6,"SI","")</f>
        <v/>
      </c>
      <c r="L20" s="6">
        <f>IF(C20&gt;=5,"SI","")</f>
        <v/>
      </c>
      <c r="M20" s="6">
        <f>IF(C20&gt;=4,"SI","")</f>
        <v/>
      </c>
      <c r="N20" s="6">
        <f>IF(H20=7,"SI","")</f>
        <v/>
      </c>
      <c r="O20" s="34">
        <f>C20/7</f>
        <v/>
      </c>
    </row>
    <row r="21">
      <c r="A21" s="35" t="n">
        <v>46219</v>
      </c>
      <c r="B21" s="36" t="inlineStr">
        <is>
          <t>Jue</t>
        </is>
      </c>
      <c r="C21" s="6">
        <f>COUNTIF(Calendario!C18:I18,"")</f>
        <v/>
      </c>
      <c r="D21" s="6">
        <f>COUNTIF(Calendario!C18:I18,"TM")</f>
        <v/>
      </c>
      <c r="E21" s="6">
        <f>COUNTIF(Calendario!C18:I18,"TT")</f>
        <v/>
      </c>
      <c r="F21" s="6">
        <f>COUNTIF(Calendario!C18:I18,"TN")</f>
        <v/>
      </c>
      <c r="G21" s="6">
        <f>COUNTIF(Calendario!C18:I18,"FV")</f>
        <v/>
      </c>
      <c r="H21" s="6">
        <f>COUNTIF(Calendario!C18:I18,"FN")</f>
        <v/>
      </c>
      <c r="I21" s="6">
        <f>D21+E21+F21</f>
        <v/>
      </c>
      <c r="J21" s="6">
        <f>IF(C21&gt;=7,"SI","")</f>
        <v/>
      </c>
      <c r="K21" s="6">
        <f>IF(C21&gt;=6,"SI","")</f>
        <v/>
      </c>
      <c r="L21" s="6">
        <f>IF(C21&gt;=5,"SI","")</f>
        <v/>
      </c>
      <c r="M21" s="6">
        <f>IF(C21&gt;=4,"SI","")</f>
        <v/>
      </c>
      <c r="N21" s="6">
        <f>IF(H21=7,"SI","")</f>
        <v/>
      </c>
      <c r="O21" s="34">
        <f>C21/7</f>
        <v/>
      </c>
    </row>
    <row r="22">
      <c r="A22" s="33" t="n">
        <v>46220</v>
      </c>
      <c r="B22" s="6" t="inlineStr">
        <is>
          <t>Vie</t>
        </is>
      </c>
      <c r="C22" s="6">
        <f>COUNTIF(Calendario!C19:I19,"")</f>
        <v/>
      </c>
      <c r="D22" s="6">
        <f>COUNTIF(Calendario!C19:I19,"TM")</f>
        <v/>
      </c>
      <c r="E22" s="6">
        <f>COUNTIF(Calendario!C19:I19,"TT")</f>
        <v/>
      </c>
      <c r="F22" s="6">
        <f>COUNTIF(Calendario!C19:I19,"TN")</f>
        <v/>
      </c>
      <c r="G22" s="6">
        <f>COUNTIF(Calendario!C19:I19,"FV")</f>
        <v/>
      </c>
      <c r="H22" s="6">
        <f>COUNTIF(Calendario!C19:I19,"FN")</f>
        <v/>
      </c>
      <c r="I22" s="6">
        <f>D22+E22+F22</f>
        <v/>
      </c>
      <c r="J22" s="6">
        <f>IF(C22&gt;=7,"SI","")</f>
        <v/>
      </c>
      <c r="K22" s="6">
        <f>IF(C22&gt;=6,"SI","")</f>
        <v/>
      </c>
      <c r="L22" s="6">
        <f>IF(C22&gt;=5,"SI","")</f>
        <v/>
      </c>
      <c r="M22" s="6">
        <f>IF(C22&gt;=4,"SI","")</f>
        <v/>
      </c>
      <c r="N22" s="6">
        <f>IF(H22=7,"SI","")</f>
        <v/>
      </c>
      <c r="O22" s="34">
        <f>C22/7</f>
        <v/>
      </c>
    </row>
    <row r="23">
      <c r="A23" s="7" t="n">
        <v>46221</v>
      </c>
      <c r="B23" s="8" t="inlineStr">
        <is>
          <t>Sab</t>
        </is>
      </c>
      <c r="C23" s="6">
        <f>COUNTIF(Calendario!C20:I20,"")</f>
        <v/>
      </c>
      <c r="D23" s="6">
        <f>COUNTIF(Calendario!C20:I20,"TM")</f>
        <v/>
      </c>
      <c r="E23" s="6">
        <f>COUNTIF(Calendario!C20:I20,"TT")</f>
        <v/>
      </c>
      <c r="F23" s="6">
        <f>COUNTIF(Calendario!C20:I20,"TN")</f>
        <v/>
      </c>
      <c r="G23" s="6">
        <f>COUNTIF(Calendario!C20:I20,"FV")</f>
        <v/>
      </c>
      <c r="H23" s="6">
        <f>COUNTIF(Calendario!C20:I20,"FN")</f>
        <v/>
      </c>
      <c r="I23" s="6">
        <f>D23+E23+F23</f>
        <v/>
      </c>
      <c r="J23" s="6">
        <f>IF(C23&gt;=7,"SI","")</f>
        <v/>
      </c>
      <c r="K23" s="6">
        <f>IF(C23&gt;=6,"SI","")</f>
        <v/>
      </c>
      <c r="L23" s="6">
        <f>IF(C23&gt;=5,"SI","")</f>
        <v/>
      </c>
      <c r="M23" s="6">
        <f>IF(C23&gt;=4,"SI","")</f>
        <v/>
      </c>
      <c r="N23" s="6">
        <f>IF(H23=7,"SI","")</f>
        <v/>
      </c>
      <c r="O23" s="34">
        <f>C23/7</f>
        <v/>
      </c>
    </row>
    <row r="24">
      <c r="A24" s="7" t="n">
        <v>46222</v>
      </c>
      <c r="B24" s="8" t="inlineStr">
        <is>
          <t>Dom</t>
        </is>
      </c>
      <c r="C24" s="6">
        <f>COUNTIF(Calendario!C21:I21,"")</f>
        <v/>
      </c>
      <c r="D24" s="6">
        <f>COUNTIF(Calendario!C21:I21,"TM")</f>
        <v/>
      </c>
      <c r="E24" s="6">
        <f>COUNTIF(Calendario!C21:I21,"TT")</f>
        <v/>
      </c>
      <c r="F24" s="6">
        <f>COUNTIF(Calendario!C21:I21,"TN")</f>
        <v/>
      </c>
      <c r="G24" s="6">
        <f>COUNTIF(Calendario!C21:I21,"FV")</f>
        <v/>
      </c>
      <c r="H24" s="6">
        <f>COUNTIF(Calendario!C21:I21,"FN")</f>
        <v/>
      </c>
      <c r="I24" s="6">
        <f>D24+E24+F24</f>
        <v/>
      </c>
      <c r="J24" s="6">
        <f>IF(C24&gt;=7,"SI","")</f>
        <v/>
      </c>
      <c r="K24" s="6">
        <f>IF(C24&gt;=6,"SI","")</f>
        <v/>
      </c>
      <c r="L24" s="6">
        <f>IF(C24&gt;=5,"SI","")</f>
        <v/>
      </c>
      <c r="M24" s="6">
        <f>IF(C24&gt;=4,"SI","")</f>
        <v/>
      </c>
      <c r="N24" s="6">
        <f>IF(H24=7,"SI","")</f>
        <v/>
      </c>
      <c r="O24" s="34">
        <f>C24/7</f>
        <v/>
      </c>
    </row>
    <row r="25">
      <c r="A25" s="35" t="n">
        <v>46223</v>
      </c>
      <c r="B25" s="36" t="inlineStr">
        <is>
          <t>Lun</t>
        </is>
      </c>
      <c r="C25" s="6">
        <f>COUNTIF(Calendario!C22:I22,"")</f>
        <v/>
      </c>
      <c r="D25" s="6">
        <f>COUNTIF(Calendario!C22:I22,"TM")</f>
        <v/>
      </c>
      <c r="E25" s="6">
        <f>COUNTIF(Calendario!C22:I22,"TT")</f>
        <v/>
      </c>
      <c r="F25" s="6">
        <f>COUNTIF(Calendario!C22:I22,"TN")</f>
        <v/>
      </c>
      <c r="G25" s="6">
        <f>COUNTIF(Calendario!C22:I22,"FV")</f>
        <v/>
      </c>
      <c r="H25" s="6">
        <f>COUNTIF(Calendario!C22:I22,"FN")</f>
        <v/>
      </c>
      <c r="I25" s="6">
        <f>D25+E25+F25</f>
        <v/>
      </c>
      <c r="J25" s="6">
        <f>IF(C25&gt;=7,"SI","")</f>
        <v/>
      </c>
      <c r="K25" s="6">
        <f>IF(C25&gt;=6,"SI","")</f>
        <v/>
      </c>
      <c r="L25" s="6">
        <f>IF(C25&gt;=5,"SI","")</f>
        <v/>
      </c>
      <c r="M25" s="6">
        <f>IF(C25&gt;=4,"SI","")</f>
        <v/>
      </c>
      <c r="N25" s="6">
        <f>IF(H25=7,"SI","")</f>
        <v/>
      </c>
      <c r="O25" s="34">
        <f>C25/7</f>
        <v/>
      </c>
    </row>
    <row r="26">
      <c r="A26" s="33" t="n">
        <v>46224</v>
      </c>
      <c r="B26" s="6" t="inlineStr">
        <is>
          <t>Mar</t>
        </is>
      </c>
      <c r="C26" s="6">
        <f>COUNTIF(Calendario!C23:I23,"")</f>
        <v/>
      </c>
      <c r="D26" s="6">
        <f>COUNTIF(Calendario!C23:I23,"TM")</f>
        <v/>
      </c>
      <c r="E26" s="6">
        <f>COUNTIF(Calendario!C23:I23,"TT")</f>
        <v/>
      </c>
      <c r="F26" s="6">
        <f>COUNTIF(Calendario!C23:I23,"TN")</f>
        <v/>
      </c>
      <c r="G26" s="6">
        <f>COUNTIF(Calendario!C23:I23,"FV")</f>
        <v/>
      </c>
      <c r="H26" s="6">
        <f>COUNTIF(Calendario!C23:I23,"FN")</f>
        <v/>
      </c>
      <c r="I26" s="6">
        <f>D26+E26+F26</f>
        <v/>
      </c>
      <c r="J26" s="6">
        <f>IF(C26&gt;=7,"SI","")</f>
        <v/>
      </c>
      <c r="K26" s="6">
        <f>IF(C26&gt;=6,"SI","")</f>
        <v/>
      </c>
      <c r="L26" s="6">
        <f>IF(C26&gt;=5,"SI","")</f>
        <v/>
      </c>
      <c r="M26" s="6">
        <f>IF(C26&gt;=4,"SI","")</f>
        <v/>
      </c>
      <c r="N26" s="6">
        <f>IF(H26=7,"SI","")</f>
        <v/>
      </c>
      <c r="O26" s="34">
        <f>C26/7</f>
        <v/>
      </c>
    </row>
    <row r="27">
      <c r="A27" s="35" t="n">
        <v>46225</v>
      </c>
      <c r="B27" s="36" t="inlineStr">
        <is>
          <t>Mie</t>
        </is>
      </c>
      <c r="C27" s="6">
        <f>COUNTIF(Calendario!C24:I24,"")</f>
        <v/>
      </c>
      <c r="D27" s="6">
        <f>COUNTIF(Calendario!C24:I24,"TM")</f>
        <v/>
      </c>
      <c r="E27" s="6">
        <f>COUNTIF(Calendario!C24:I24,"TT")</f>
        <v/>
      </c>
      <c r="F27" s="6">
        <f>COUNTIF(Calendario!C24:I24,"TN")</f>
        <v/>
      </c>
      <c r="G27" s="6">
        <f>COUNTIF(Calendario!C24:I24,"FV")</f>
        <v/>
      </c>
      <c r="H27" s="6">
        <f>COUNTIF(Calendario!C24:I24,"FN")</f>
        <v/>
      </c>
      <c r="I27" s="6">
        <f>D27+E27+F27</f>
        <v/>
      </c>
      <c r="J27" s="6">
        <f>IF(C27&gt;=7,"SI","")</f>
        <v/>
      </c>
      <c r="K27" s="6">
        <f>IF(C27&gt;=6,"SI","")</f>
        <v/>
      </c>
      <c r="L27" s="6">
        <f>IF(C27&gt;=5,"SI","")</f>
        <v/>
      </c>
      <c r="M27" s="6">
        <f>IF(C27&gt;=4,"SI","")</f>
        <v/>
      </c>
      <c r="N27" s="6">
        <f>IF(H27=7,"SI","")</f>
        <v/>
      </c>
      <c r="O27" s="34">
        <f>C27/7</f>
        <v/>
      </c>
    </row>
    <row r="28">
      <c r="A28" s="33" t="n">
        <v>46226</v>
      </c>
      <c r="B28" s="6" t="inlineStr">
        <is>
          <t>Jue</t>
        </is>
      </c>
      <c r="C28" s="6">
        <f>COUNTIF(Calendario!C25:I25,"")</f>
        <v/>
      </c>
      <c r="D28" s="6">
        <f>COUNTIF(Calendario!C25:I25,"TM")</f>
        <v/>
      </c>
      <c r="E28" s="6">
        <f>COUNTIF(Calendario!C25:I25,"TT")</f>
        <v/>
      </c>
      <c r="F28" s="6">
        <f>COUNTIF(Calendario!C25:I25,"TN")</f>
        <v/>
      </c>
      <c r="G28" s="6">
        <f>COUNTIF(Calendario!C25:I25,"FV")</f>
        <v/>
      </c>
      <c r="H28" s="6">
        <f>COUNTIF(Calendario!C25:I25,"FN")</f>
        <v/>
      </c>
      <c r="I28" s="6">
        <f>D28+E28+F28</f>
        <v/>
      </c>
      <c r="J28" s="6">
        <f>IF(C28&gt;=7,"SI","")</f>
        <v/>
      </c>
      <c r="K28" s="6">
        <f>IF(C28&gt;=6,"SI","")</f>
        <v/>
      </c>
      <c r="L28" s="6">
        <f>IF(C28&gt;=5,"SI","")</f>
        <v/>
      </c>
      <c r="M28" s="6">
        <f>IF(C28&gt;=4,"SI","")</f>
        <v/>
      </c>
      <c r="N28" s="6">
        <f>IF(H28=7,"SI","")</f>
        <v/>
      </c>
      <c r="O28" s="34">
        <f>C28/7</f>
        <v/>
      </c>
    </row>
    <row r="29">
      <c r="A29" s="35" t="n">
        <v>46227</v>
      </c>
      <c r="B29" s="36" t="inlineStr">
        <is>
          <t>Vie</t>
        </is>
      </c>
      <c r="C29" s="6">
        <f>COUNTIF(Calendario!C26:I26,"")</f>
        <v/>
      </c>
      <c r="D29" s="6">
        <f>COUNTIF(Calendario!C26:I26,"TM")</f>
        <v/>
      </c>
      <c r="E29" s="6">
        <f>COUNTIF(Calendario!C26:I26,"TT")</f>
        <v/>
      </c>
      <c r="F29" s="6">
        <f>COUNTIF(Calendario!C26:I26,"TN")</f>
        <v/>
      </c>
      <c r="G29" s="6">
        <f>COUNTIF(Calendario!C26:I26,"FV")</f>
        <v/>
      </c>
      <c r="H29" s="6">
        <f>COUNTIF(Calendario!C26:I26,"FN")</f>
        <v/>
      </c>
      <c r="I29" s="6">
        <f>D29+E29+F29</f>
        <v/>
      </c>
      <c r="J29" s="6">
        <f>IF(C29&gt;=7,"SI","")</f>
        <v/>
      </c>
      <c r="K29" s="6">
        <f>IF(C29&gt;=6,"SI","")</f>
        <v/>
      </c>
      <c r="L29" s="6">
        <f>IF(C29&gt;=5,"SI","")</f>
        <v/>
      </c>
      <c r="M29" s="6">
        <f>IF(C29&gt;=4,"SI","")</f>
        <v/>
      </c>
      <c r="N29" s="6">
        <f>IF(H29=7,"SI","")</f>
        <v/>
      </c>
      <c r="O29" s="34">
        <f>C29/7</f>
        <v/>
      </c>
    </row>
    <row r="30">
      <c r="A30" s="7" t="n">
        <v>46228</v>
      </c>
      <c r="B30" s="8" t="inlineStr">
        <is>
          <t>Sab</t>
        </is>
      </c>
      <c r="C30" s="6">
        <f>COUNTIF(Calendario!C27:I27,"")</f>
        <v/>
      </c>
      <c r="D30" s="6">
        <f>COUNTIF(Calendario!C27:I27,"TM")</f>
        <v/>
      </c>
      <c r="E30" s="6">
        <f>COUNTIF(Calendario!C27:I27,"TT")</f>
        <v/>
      </c>
      <c r="F30" s="6">
        <f>COUNTIF(Calendario!C27:I27,"TN")</f>
        <v/>
      </c>
      <c r="G30" s="6">
        <f>COUNTIF(Calendario!C27:I27,"FV")</f>
        <v/>
      </c>
      <c r="H30" s="6">
        <f>COUNTIF(Calendario!C27:I27,"FN")</f>
        <v/>
      </c>
      <c r="I30" s="6">
        <f>D30+E30+F30</f>
        <v/>
      </c>
      <c r="J30" s="6">
        <f>IF(C30&gt;=7,"SI","")</f>
        <v/>
      </c>
      <c r="K30" s="6">
        <f>IF(C30&gt;=6,"SI","")</f>
        <v/>
      </c>
      <c r="L30" s="6">
        <f>IF(C30&gt;=5,"SI","")</f>
        <v/>
      </c>
      <c r="M30" s="6">
        <f>IF(C30&gt;=4,"SI","")</f>
        <v/>
      </c>
      <c r="N30" s="6">
        <f>IF(H30=7,"SI","")</f>
        <v/>
      </c>
      <c r="O30" s="34">
        <f>C30/7</f>
        <v/>
      </c>
    </row>
    <row r="31">
      <c r="A31" s="7" t="n">
        <v>46229</v>
      </c>
      <c r="B31" s="8" t="inlineStr">
        <is>
          <t>Dom</t>
        </is>
      </c>
      <c r="C31" s="6">
        <f>COUNTIF(Calendario!C28:I28,"")</f>
        <v/>
      </c>
      <c r="D31" s="6">
        <f>COUNTIF(Calendario!C28:I28,"TM")</f>
        <v/>
      </c>
      <c r="E31" s="6">
        <f>COUNTIF(Calendario!C28:I28,"TT")</f>
        <v/>
      </c>
      <c r="F31" s="6">
        <f>COUNTIF(Calendario!C28:I28,"TN")</f>
        <v/>
      </c>
      <c r="G31" s="6">
        <f>COUNTIF(Calendario!C28:I28,"FV")</f>
        <v/>
      </c>
      <c r="H31" s="6">
        <f>COUNTIF(Calendario!C28:I28,"FN")</f>
        <v/>
      </c>
      <c r="I31" s="6">
        <f>D31+E31+F31</f>
        <v/>
      </c>
      <c r="J31" s="6">
        <f>IF(C31&gt;=7,"SI","")</f>
        <v/>
      </c>
      <c r="K31" s="6">
        <f>IF(C31&gt;=6,"SI","")</f>
        <v/>
      </c>
      <c r="L31" s="6">
        <f>IF(C31&gt;=5,"SI","")</f>
        <v/>
      </c>
      <c r="M31" s="6">
        <f>IF(C31&gt;=4,"SI","")</f>
        <v/>
      </c>
      <c r="N31" s="6">
        <f>IF(H31=7,"SI","")</f>
        <v/>
      </c>
      <c r="O31" s="34">
        <f>C31/7</f>
        <v/>
      </c>
    </row>
    <row r="32">
      <c r="A32" s="33" t="n">
        <v>46230</v>
      </c>
      <c r="B32" s="6" t="inlineStr">
        <is>
          <t>Lun</t>
        </is>
      </c>
      <c r="C32" s="6">
        <f>COUNTIF(Calendario!C29:I29,"")</f>
        <v/>
      </c>
      <c r="D32" s="6">
        <f>COUNTIF(Calendario!C29:I29,"TM")</f>
        <v/>
      </c>
      <c r="E32" s="6">
        <f>COUNTIF(Calendario!C29:I29,"TT")</f>
        <v/>
      </c>
      <c r="F32" s="6">
        <f>COUNTIF(Calendario!C29:I29,"TN")</f>
        <v/>
      </c>
      <c r="G32" s="6">
        <f>COUNTIF(Calendario!C29:I29,"FV")</f>
        <v/>
      </c>
      <c r="H32" s="6">
        <f>COUNTIF(Calendario!C29:I29,"FN")</f>
        <v/>
      </c>
      <c r="I32" s="6">
        <f>D32+E32+F32</f>
        <v/>
      </c>
      <c r="J32" s="6">
        <f>IF(C32&gt;=7,"SI","")</f>
        <v/>
      </c>
      <c r="K32" s="6">
        <f>IF(C32&gt;=6,"SI","")</f>
        <v/>
      </c>
      <c r="L32" s="6">
        <f>IF(C32&gt;=5,"SI","")</f>
        <v/>
      </c>
      <c r="M32" s="6">
        <f>IF(C32&gt;=4,"SI","")</f>
        <v/>
      </c>
      <c r="N32" s="6">
        <f>IF(H32=7,"SI","")</f>
        <v/>
      </c>
      <c r="O32" s="34">
        <f>C32/7</f>
        <v/>
      </c>
    </row>
    <row r="33">
      <c r="A33" s="35" t="n">
        <v>46231</v>
      </c>
      <c r="B33" s="36" t="inlineStr">
        <is>
          <t>Mar</t>
        </is>
      </c>
      <c r="C33" s="6">
        <f>COUNTIF(Calendario!C30:I30,"")</f>
        <v/>
      </c>
      <c r="D33" s="6">
        <f>COUNTIF(Calendario!C30:I30,"TM")</f>
        <v/>
      </c>
      <c r="E33" s="6">
        <f>COUNTIF(Calendario!C30:I30,"TT")</f>
        <v/>
      </c>
      <c r="F33" s="6">
        <f>COUNTIF(Calendario!C30:I30,"TN")</f>
        <v/>
      </c>
      <c r="G33" s="6">
        <f>COUNTIF(Calendario!C30:I30,"FV")</f>
        <v/>
      </c>
      <c r="H33" s="6">
        <f>COUNTIF(Calendario!C30:I30,"FN")</f>
        <v/>
      </c>
      <c r="I33" s="6">
        <f>D33+E33+F33</f>
        <v/>
      </c>
      <c r="J33" s="6">
        <f>IF(C33&gt;=7,"SI","")</f>
        <v/>
      </c>
      <c r="K33" s="6">
        <f>IF(C33&gt;=6,"SI","")</f>
        <v/>
      </c>
      <c r="L33" s="6">
        <f>IF(C33&gt;=5,"SI","")</f>
        <v/>
      </c>
      <c r="M33" s="6">
        <f>IF(C33&gt;=4,"SI","")</f>
        <v/>
      </c>
      <c r="N33" s="6">
        <f>IF(H33=7,"SI","")</f>
        <v/>
      </c>
      <c r="O33" s="34">
        <f>C33/7</f>
        <v/>
      </c>
    </row>
    <row r="34">
      <c r="A34" s="33" t="n">
        <v>46232</v>
      </c>
      <c r="B34" s="6" t="inlineStr">
        <is>
          <t>Mie</t>
        </is>
      </c>
      <c r="C34" s="6">
        <f>COUNTIF(Calendario!C31:I31,"")</f>
        <v/>
      </c>
      <c r="D34" s="6">
        <f>COUNTIF(Calendario!C31:I31,"TM")</f>
        <v/>
      </c>
      <c r="E34" s="6">
        <f>COUNTIF(Calendario!C31:I31,"TT")</f>
        <v/>
      </c>
      <c r="F34" s="6">
        <f>COUNTIF(Calendario!C31:I31,"TN")</f>
        <v/>
      </c>
      <c r="G34" s="6">
        <f>COUNTIF(Calendario!C31:I31,"FV")</f>
        <v/>
      </c>
      <c r="H34" s="6">
        <f>COUNTIF(Calendario!C31:I31,"FN")</f>
        <v/>
      </c>
      <c r="I34" s="6">
        <f>D34+E34+F34</f>
        <v/>
      </c>
      <c r="J34" s="6">
        <f>IF(C34&gt;=7,"SI","")</f>
        <v/>
      </c>
      <c r="K34" s="6">
        <f>IF(C34&gt;=6,"SI","")</f>
        <v/>
      </c>
      <c r="L34" s="6">
        <f>IF(C34&gt;=5,"SI","")</f>
        <v/>
      </c>
      <c r="M34" s="6">
        <f>IF(C34&gt;=4,"SI","")</f>
        <v/>
      </c>
      <c r="N34" s="6">
        <f>IF(H34=7,"SI","")</f>
        <v/>
      </c>
      <c r="O34" s="34">
        <f>C34/7</f>
        <v/>
      </c>
    </row>
    <row r="35">
      <c r="A35" s="35" t="n">
        <v>46233</v>
      </c>
      <c r="B35" s="36" t="inlineStr">
        <is>
          <t>Jue</t>
        </is>
      </c>
      <c r="C35" s="6">
        <f>COUNTIF(Calendario!C32:I32,"")</f>
        <v/>
      </c>
      <c r="D35" s="6">
        <f>COUNTIF(Calendario!C32:I32,"TM")</f>
        <v/>
      </c>
      <c r="E35" s="6">
        <f>COUNTIF(Calendario!C32:I32,"TT")</f>
        <v/>
      </c>
      <c r="F35" s="6">
        <f>COUNTIF(Calendario!C32:I32,"TN")</f>
        <v/>
      </c>
      <c r="G35" s="6">
        <f>COUNTIF(Calendario!C32:I32,"FV")</f>
        <v/>
      </c>
      <c r="H35" s="6">
        <f>COUNTIF(Calendario!C32:I32,"FN")</f>
        <v/>
      </c>
      <c r="I35" s="6">
        <f>D35+E35+F35</f>
        <v/>
      </c>
      <c r="J35" s="6">
        <f>IF(C35&gt;=7,"SI","")</f>
        <v/>
      </c>
      <c r="K35" s="6">
        <f>IF(C35&gt;=6,"SI","")</f>
        <v/>
      </c>
      <c r="L35" s="6">
        <f>IF(C35&gt;=5,"SI","")</f>
        <v/>
      </c>
      <c r="M35" s="6">
        <f>IF(C35&gt;=4,"SI","")</f>
        <v/>
      </c>
      <c r="N35" s="6">
        <f>IF(H35=7,"SI","")</f>
        <v/>
      </c>
      <c r="O35" s="34">
        <f>C35/7</f>
        <v/>
      </c>
    </row>
    <row r="36">
      <c r="A36" s="33" t="n">
        <v>46234</v>
      </c>
      <c r="B36" s="6" t="inlineStr">
        <is>
          <t>Vie</t>
        </is>
      </c>
      <c r="C36" s="6">
        <f>COUNTIF(Calendario!C33:I33,"")</f>
        <v/>
      </c>
      <c r="D36" s="6">
        <f>COUNTIF(Calendario!C33:I33,"TM")</f>
        <v/>
      </c>
      <c r="E36" s="6">
        <f>COUNTIF(Calendario!C33:I33,"TT")</f>
        <v/>
      </c>
      <c r="F36" s="6">
        <f>COUNTIF(Calendario!C33:I33,"TN")</f>
        <v/>
      </c>
      <c r="G36" s="6">
        <f>COUNTIF(Calendario!C33:I33,"FV")</f>
        <v/>
      </c>
      <c r="H36" s="6">
        <f>COUNTIF(Calendario!C33:I33,"FN")</f>
        <v/>
      </c>
      <c r="I36" s="6">
        <f>D36+E36+F36</f>
        <v/>
      </c>
      <c r="J36" s="6">
        <f>IF(C36&gt;=7,"SI","")</f>
        <v/>
      </c>
      <c r="K36" s="6">
        <f>IF(C36&gt;=6,"SI","")</f>
        <v/>
      </c>
      <c r="L36" s="6">
        <f>IF(C36&gt;=5,"SI","")</f>
        <v/>
      </c>
      <c r="M36" s="6">
        <f>IF(C36&gt;=4,"SI","")</f>
        <v/>
      </c>
      <c r="N36" s="6">
        <f>IF(H36=7,"SI","")</f>
        <v/>
      </c>
      <c r="O36" s="34">
        <f>C36/7</f>
        <v/>
      </c>
    </row>
    <row r="37">
      <c r="A37" s="7" t="n">
        <v>46235</v>
      </c>
      <c r="B37" s="8" t="inlineStr">
        <is>
          <t>Sab</t>
        </is>
      </c>
      <c r="C37" s="6">
        <f>COUNTIF(Calendario!C35:I35,"")</f>
        <v/>
      </c>
      <c r="D37" s="6">
        <f>COUNTIF(Calendario!C35:I35,"TM")</f>
        <v/>
      </c>
      <c r="E37" s="6">
        <f>COUNTIF(Calendario!C35:I35,"TT")</f>
        <v/>
      </c>
      <c r="F37" s="6">
        <f>COUNTIF(Calendario!C35:I35,"TN")</f>
        <v/>
      </c>
      <c r="G37" s="6">
        <f>COUNTIF(Calendario!C35:I35,"FV")</f>
        <v/>
      </c>
      <c r="H37" s="6">
        <f>COUNTIF(Calendario!C35:I35,"FN")</f>
        <v/>
      </c>
      <c r="I37" s="6">
        <f>D37+E37+F37</f>
        <v/>
      </c>
      <c r="J37" s="6">
        <f>IF(C37&gt;=7,"SI","")</f>
        <v/>
      </c>
      <c r="K37" s="6">
        <f>IF(C37&gt;=6,"SI","")</f>
        <v/>
      </c>
      <c r="L37" s="6">
        <f>IF(C37&gt;=5,"SI","")</f>
        <v/>
      </c>
      <c r="M37" s="6">
        <f>IF(C37&gt;=4,"SI","")</f>
        <v/>
      </c>
      <c r="N37" s="6">
        <f>IF(H37=7,"SI","")</f>
        <v/>
      </c>
      <c r="O37" s="34">
        <f>C37/7</f>
        <v/>
      </c>
    </row>
    <row r="38">
      <c r="A38" s="7" t="n">
        <v>46236</v>
      </c>
      <c r="B38" s="8" t="inlineStr">
        <is>
          <t>Dom</t>
        </is>
      </c>
      <c r="C38" s="6">
        <f>COUNTIF(Calendario!C36:I36,"")</f>
        <v/>
      </c>
      <c r="D38" s="6">
        <f>COUNTIF(Calendario!C36:I36,"TM")</f>
        <v/>
      </c>
      <c r="E38" s="6">
        <f>COUNTIF(Calendario!C36:I36,"TT")</f>
        <v/>
      </c>
      <c r="F38" s="6">
        <f>COUNTIF(Calendario!C36:I36,"TN")</f>
        <v/>
      </c>
      <c r="G38" s="6">
        <f>COUNTIF(Calendario!C36:I36,"FV")</f>
        <v/>
      </c>
      <c r="H38" s="6">
        <f>COUNTIF(Calendario!C36:I36,"FN")</f>
        <v/>
      </c>
      <c r="I38" s="6">
        <f>D38+E38+F38</f>
        <v/>
      </c>
      <c r="J38" s="6">
        <f>IF(C38&gt;=7,"SI","")</f>
        <v/>
      </c>
      <c r="K38" s="6">
        <f>IF(C38&gt;=6,"SI","")</f>
        <v/>
      </c>
      <c r="L38" s="6">
        <f>IF(C38&gt;=5,"SI","")</f>
        <v/>
      </c>
      <c r="M38" s="6">
        <f>IF(C38&gt;=4,"SI","")</f>
        <v/>
      </c>
      <c r="N38" s="6">
        <f>IF(H38=7,"SI","")</f>
        <v/>
      </c>
      <c r="O38" s="34">
        <f>C38/7</f>
        <v/>
      </c>
    </row>
    <row r="39">
      <c r="A39" s="35" t="n">
        <v>46237</v>
      </c>
      <c r="B39" s="36" t="inlineStr">
        <is>
          <t>Lun</t>
        </is>
      </c>
      <c r="C39" s="6">
        <f>COUNTIF(Calendario!C37:I37,"")</f>
        <v/>
      </c>
      <c r="D39" s="6">
        <f>COUNTIF(Calendario!C37:I37,"TM")</f>
        <v/>
      </c>
      <c r="E39" s="6">
        <f>COUNTIF(Calendario!C37:I37,"TT")</f>
        <v/>
      </c>
      <c r="F39" s="6">
        <f>COUNTIF(Calendario!C37:I37,"TN")</f>
        <v/>
      </c>
      <c r="G39" s="6">
        <f>COUNTIF(Calendario!C37:I37,"FV")</f>
        <v/>
      </c>
      <c r="H39" s="6">
        <f>COUNTIF(Calendario!C37:I37,"FN")</f>
        <v/>
      </c>
      <c r="I39" s="6">
        <f>D39+E39+F39</f>
        <v/>
      </c>
      <c r="J39" s="6">
        <f>IF(C39&gt;=7,"SI","")</f>
        <v/>
      </c>
      <c r="K39" s="6">
        <f>IF(C39&gt;=6,"SI","")</f>
        <v/>
      </c>
      <c r="L39" s="6">
        <f>IF(C39&gt;=5,"SI","")</f>
        <v/>
      </c>
      <c r="M39" s="6">
        <f>IF(C39&gt;=4,"SI","")</f>
        <v/>
      </c>
      <c r="N39" s="6">
        <f>IF(H39=7,"SI","")</f>
        <v/>
      </c>
      <c r="O39" s="34">
        <f>C39/7</f>
        <v/>
      </c>
    </row>
    <row r="40">
      <c r="A40" s="33" t="n">
        <v>46238</v>
      </c>
      <c r="B40" s="6" t="inlineStr">
        <is>
          <t>Mar</t>
        </is>
      </c>
      <c r="C40" s="6">
        <f>COUNTIF(Calendario!C38:I38,"")</f>
        <v/>
      </c>
      <c r="D40" s="6">
        <f>COUNTIF(Calendario!C38:I38,"TM")</f>
        <v/>
      </c>
      <c r="E40" s="6">
        <f>COUNTIF(Calendario!C38:I38,"TT")</f>
        <v/>
      </c>
      <c r="F40" s="6">
        <f>COUNTIF(Calendario!C38:I38,"TN")</f>
        <v/>
      </c>
      <c r="G40" s="6">
        <f>COUNTIF(Calendario!C38:I38,"FV")</f>
        <v/>
      </c>
      <c r="H40" s="6">
        <f>COUNTIF(Calendario!C38:I38,"FN")</f>
        <v/>
      </c>
      <c r="I40" s="6">
        <f>D40+E40+F40</f>
        <v/>
      </c>
      <c r="J40" s="6">
        <f>IF(C40&gt;=7,"SI","")</f>
        <v/>
      </c>
      <c r="K40" s="6">
        <f>IF(C40&gt;=6,"SI","")</f>
        <v/>
      </c>
      <c r="L40" s="6">
        <f>IF(C40&gt;=5,"SI","")</f>
        <v/>
      </c>
      <c r="M40" s="6">
        <f>IF(C40&gt;=4,"SI","")</f>
        <v/>
      </c>
      <c r="N40" s="6">
        <f>IF(H40=7,"SI","")</f>
        <v/>
      </c>
      <c r="O40" s="34">
        <f>C40/7</f>
        <v/>
      </c>
    </row>
    <row r="41">
      <c r="A41" s="35" t="n">
        <v>46239</v>
      </c>
      <c r="B41" s="36" t="inlineStr">
        <is>
          <t>Mie</t>
        </is>
      </c>
      <c r="C41" s="6">
        <f>COUNTIF(Calendario!C39:I39,"")</f>
        <v/>
      </c>
      <c r="D41" s="6">
        <f>COUNTIF(Calendario!C39:I39,"TM")</f>
        <v/>
      </c>
      <c r="E41" s="6">
        <f>COUNTIF(Calendario!C39:I39,"TT")</f>
        <v/>
      </c>
      <c r="F41" s="6">
        <f>COUNTIF(Calendario!C39:I39,"TN")</f>
        <v/>
      </c>
      <c r="G41" s="6">
        <f>COUNTIF(Calendario!C39:I39,"FV")</f>
        <v/>
      </c>
      <c r="H41" s="6">
        <f>COUNTIF(Calendario!C39:I39,"FN")</f>
        <v/>
      </c>
      <c r="I41" s="6">
        <f>D41+E41+F41</f>
        <v/>
      </c>
      <c r="J41" s="6">
        <f>IF(C41&gt;=7,"SI","")</f>
        <v/>
      </c>
      <c r="K41" s="6">
        <f>IF(C41&gt;=6,"SI","")</f>
        <v/>
      </c>
      <c r="L41" s="6">
        <f>IF(C41&gt;=5,"SI","")</f>
        <v/>
      </c>
      <c r="M41" s="6">
        <f>IF(C41&gt;=4,"SI","")</f>
        <v/>
      </c>
      <c r="N41" s="6">
        <f>IF(H41=7,"SI","")</f>
        <v/>
      </c>
      <c r="O41" s="34">
        <f>C41/7</f>
        <v/>
      </c>
    </row>
    <row r="42">
      <c r="A42" s="33" t="n">
        <v>46240</v>
      </c>
      <c r="B42" s="6" t="inlineStr">
        <is>
          <t>Jue</t>
        </is>
      </c>
      <c r="C42" s="6">
        <f>COUNTIF(Calendario!C40:I40,"")</f>
        <v/>
      </c>
      <c r="D42" s="6">
        <f>COUNTIF(Calendario!C40:I40,"TM")</f>
        <v/>
      </c>
      <c r="E42" s="6">
        <f>COUNTIF(Calendario!C40:I40,"TT")</f>
        <v/>
      </c>
      <c r="F42" s="6">
        <f>COUNTIF(Calendario!C40:I40,"TN")</f>
        <v/>
      </c>
      <c r="G42" s="6">
        <f>COUNTIF(Calendario!C40:I40,"FV")</f>
        <v/>
      </c>
      <c r="H42" s="6">
        <f>COUNTIF(Calendario!C40:I40,"FN")</f>
        <v/>
      </c>
      <c r="I42" s="6">
        <f>D42+E42+F42</f>
        <v/>
      </c>
      <c r="J42" s="6">
        <f>IF(C42&gt;=7,"SI","")</f>
        <v/>
      </c>
      <c r="K42" s="6">
        <f>IF(C42&gt;=6,"SI","")</f>
        <v/>
      </c>
      <c r="L42" s="6">
        <f>IF(C42&gt;=5,"SI","")</f>
        <v/>
      </c>
      <c r="M42" s="6">
        <f>IF(C42&gt;=4,"SI","")</f>
        <v/>
      </c>
      <c r="N42" s="6">
        <f>IF(H42=7,"SI","")</f>
        <v/>
      </c>
      <c r="O42" s="34">
        <f>C42/7</f>
        <v/>
      </c>
    </row>
    <row r="43">
      <c r="A43" s="35" t="n">
        <v>46241</v>
      </c>
      <c r="B43" s="36" t="inlineStr">
        <is>
          <t>Vie</t>
        </is>
      </c>
      <c r="C43" s="6">
        <f>COUNTIF(Calendario!C41:I41,"")</f>
        <v/>
      </c>
      <c r="D43" s="6">
        <f>COUNTIF(Calendario!C41:I41,"TM")</f>
        <v/>
      </c>
      <c r="E43" s="6">
        <f>COUNTIF(Calendario!C41:I41,"TT")</f>
        <v/>
      </c>
      <c r="F43" s="6">
        <f>COUNTIF(Calendario!C41:I41,"TN")</f>
        <v/>
      </c>
      <c r="G43" s="6">
        <f>COUNTIF(Calendario!C41:I41,"FV")</f>
        <v/>
      </c>
      <c r="H43" s="6">
        <f>COUNTIF(Calendario!C41:I41,"FN")</f>
        <v/>
      </c>
      <c r="I43" s="6">
        <f>D43+E43+F43</f>
        <v/>
      </c>
      <c r="J43" s="6">
        <f>IF(C43&gt;=7,"SI","")</f>
        <v/>
      </c>
      <c r="K43" s="6">
        <f>IF(C43&gt;=6,"SI","")</f>
        <v/>
      </c>
      <c r="L43" s="6">
        <f>IF(C43&gt;=5,"SI","")</f>
        <v/>
      </c>
      <c r="M43" s="6">
        <f>IF(C43&gt;=4,"SI","")</f>
        <v/>
      </c>
      <c r="N43" s="6">
        <f>IF(H43=7,"SI","")</f>
        <v/>
      </c>
      <c r="O43" s="34">
        <f>C43/7</f>
        <v/>
      </c>
    </row>
    <row r="44">
      <c r="A44" s="7" t="n">
        <v>46242</v>
      </c>
      <c r="B44" s="8" t="inlineStr">
        <is>
          <t>Sab</t>
        </is>
      </c>
      <c r="C44" s="6">
        <f>COUNTIF(Calendario!C42:I42,"")</f>
        <v/>
      </c>
      <c r="D44" s="6">
        <f>COUNTIF(Calendario!C42:I42,"TM")</f>
        <v/>
      </c>
      <c r="E44" s="6">
        <f>COUNTIF(Calendario!C42:I42,"TT")</f>
        <v/>
      </c>
      <c r="F44" s="6">
        <f>COUNTIF(Calendario!C42:I42,"TN")</f>
        <v/>
      </c>
      <c r="G44" s="6">
        <f>COUNTIF(Calendario!C42:I42,"FV")</f>
        <v/>
      </c>
      <c r="H44" s="6">
        <f>COUNTIF(Calendario!C42:I42,"FN")</f>
        <v/>
      </c>
      <c r="I44" s="6">
        <f>D44+E44+F44</f>
        <v/>
      </c>
      <c r="J44" s="6">
        <f>IF(C44&gt;=7,"SI","")</f>
        <v/>
      </c>
      <c r="K44" s="6">
        <f>IF(C44&gt;=6,"SI","")</f>
        <v/>
      </c>
      <c r="L44" s="6">
        <f>IF(C44&gt;=5,"SI","")</f>
        <v/>
      </c>
      <c r="M44" s="6">
        <f>IF(C44&gt;=4,"SI","")</f>
        <v/>
      </c>
      <c r="N44" s="6">
        <f>IF(H44=7,"SI","")</f>
        <v/>
      </c>
      <c r="O44" s="34">
        <f>C44/7</f>
        <v/>
      </c>
    </row>
    <row r="45">
      <c r="A45" s="7" t="n">
        <v>46243</v>
      </c>
      <c r="B45" s="8" t="inlineStr">
        <is>
          <t>Dom</t>
        </is>
      </c>
      <c r="C45" s="6">
        <f>COUNTIF(Calendario!C43:I43,"")</f>
        <v/>
      </c>
      <c r="D45" s="6">
        <f>COUNTIF(Calendario!C43:I43,"TM")</f>
        <v/>
      </c>
      <c r="E45" s="6">
        <f>COUNTIF(Calendario!C43:I43,"TT")</f>
        <v/>
      </c>
      <c r="F45" s="6">
        <f>COUNTIF(Calendario!C43:I43,"TN")</f>
        <v/>
      </c>
      <c r="G45" s="6">
        <f>COUNTIF(Calendario!C43:I43,"FV")</f>
        <v/>
      </c>
      <c r="H45" s="6">
        <f>COUNTIF(Calendario!C43:I43,"FN")</f>
        <v/>
      </c>
      <c r="I45" s="6">
        <f>D45+E45+F45</f>
        <v/>
      </c>
      <c r="J45" s="6">
        <f>IF(C45&gt;=7,"SI","")</f>
        <v/>
      </c>
      <c r="K45" s="6">
        <f>IF(C45&gt;=6,"SI","")</f>
        <v/>
      </c>
      <c r="L45" s="6">
        <f>IF(C45&gt;=5,"SI","")</f>
        <v/>
      </c>
      <c r="M45" s="6">
        <f>IF(C45&gt;=4,"SI","")</f>
        <v/>
      </c>
      <c r="N45" s="6">
        <f>IF(H45=7,"SI","")</f>
        <v/>
      </c>
      <c r="O45" s="34">
        <f>C45/7</f>
        <v/>
      </c>
    </row>
    <row r="46">
      <c r="A46" s="33" t="n">
        <v>46244</v>
      </c>
      <c r="B46" s="6" t="inlineStr">
        <is>
          <t>Lun</t>
        </is>
      </c>
      <c r="C46" s="6">
        <f>COUNTIF(Calendario!C44:I44,"")</f>
        <v/>
      </c>
      <c r="D46" s="6">
        <f>COUNTIF(Calendario!C44:I44,"TM")</f>
        <v/>
      </c>
      <c r="E46" s="6">
        <f>COUNTIF(Calendario!C44:I44,"TT")</f>
        <v/>
      </c>
      <c r="F46" s="6">
        <f>COUNTIF(Calendario!C44:I44,"TN")</f>
        <v/>
      </c>
      <c r="G46" s="6">
        <f>COUNTIF(Calendario!C44:I44,"FV")</f>
        <v/>
      </c>
      <c r="H46" s="6">
        <f>COUNTIF(Calendario!C44:I44,"FN")</f>
        <v/>
      </c>
      <c r="I46" s="6">
        <f>D46+E46+F46</f>
        <v/>
      </c>
      <c r="J46" s="6">
        <f>IF(C46&gt;=7,"SI","")</f>
        <v/>
      </c>
      <c r="K46" s="6">
        <f>IF(C46&gt;=6,"SI","")</f>
        <v/>
      </c>
      <c r="L46" s="6">
        <f>IF(C46&gt;=5,"SI","")</f>
        <v/>
      </c>
      <c r="M46" s="6">
        <f>IF(C46&gt;=4,"SI","")</f>
        <v/>
      </c>
      <c r="N46" s="6">
        <f>IF(H46=7,"SI","")</f>
        <v/>
      </c>
      <c r="O46" s="34">
        <f>C46/7</f>
        <v/>
      </c>
    </row>
    <row r="47">
      <c r="A47" s="35" t="n">
        <v>46245</v>
      </c>
      <c r="B47" s="36" t="inlineStr">
        <is>
          <t>Mar</t>
        </is>
      </c>
      <c r="C47" s="6">
        <f>COUNTIF(Calendario!C45:I45,"")</f>
        <v/>
      </c>
      <c r="D47" s="6">
        <f>COUNTIF(Calendario!C45:I45,"TM")</f>
        <v/>
      </c>
      <c r="E47" s="6">
        <f>COUNTIF(Calendario!C45:I45,"TT")</f>
        <v/>
      </c>
      <c r="F47" s="6">
        <f>COUNTIF(Calendario!C45:I45,"TN")</f>
        <v/>
      </c>
      <c r="G47" s="6">
        <f>COUNTIF(Calendario!C45:I45,"FV")</f>
        <v/>
      </c>
      <c r="H47" s="6">
        <f>COUNTIF(Calendario!C45:I45,"FN")</f>
        <v/>
      </c>
      <c r="I47" s="6">
        <f>D47+E47+F47</f>
        <v/>
      </c>
      <c r="J47" s="6">
        <f>IF(C47&gt;=7,"SI","")</f>
        <v/>
      </c>
      <c r="K47" s="6">
        <f>IF(C47&gt;=6,"SI","")</f>
        <v/>
      </c>
      <c r="L47" s="6">
        <f>IF(C47&gt;=5,"SI","")</f>
        <v/>
      </c>
      <c r="M47" s="6">
        <f>IF(C47&gt;=4,"SI","")</f>
        <v/>
      </c>
      <c r="N47" s="6">
        <f>IF(H47=7,"SI","")</f>
        <v/>
      </c>
      <c r="O47" s="34">
        <f>C47/7</f>
        <v/>
      </c>
    </row>
    <row r="48">
      <c r="A48" s="33" t="n">
        <v>46246</v>
      </c>
      <c r="B48" s="6" t="inlineStr">
        <is>
          <t>Mie</t>
        </is>
      </c>
      <c r="C48" s="6">
        <f>COUNTIF(Calendario!C46:I46,"")</f>
        <v/>
      </c>
      <c r="D48" s="6">
        <f>COUNTIF(Calendario!C46:I46,"TM")</f>
        <v/>
      </c>
      <c r="E48" s="6">
        <f>COUNTIF(Calendario!C46:I46,"TT")</f>
        <v/>
      </c>
      <c r="F48" s="6">
        <f>COUNTIF(Calendario!C46:I46,"TN")</f>
        <v/>
      </c>
      <c r="G48" s="6">
        <f>COUNTIF(Calendario!C46:I46,"FV")</f>
        <v/>
      </c>
      <c r="H48" s="6">
        <f>COUNTIF(Calendario!C46:I46,"FN")</f>
        <v/>
      </c>
      <c r="I48" s="6">
        <f>D48+E48+F48</f>
        <v/>
      </c>
      <c r="J48" s="6">
        <f>IF(C48&gt;=7,"SI","")</f>
        <v/>
      </c>
      <c r="K48" s="6">
        <f>IF(C48&gt;=6,"SI","")</f>
        <v/>
      </c>
      <c r="L48" s="6">
        <f>IF(C48&gt;=5,"SI","")</f>
        <v/>
      </c>
      <c r="M48" s="6">
        <f>IF(C48&gt;=4,"SI","")</f>
        <v/>
      </c>
      <c r="N48" s="6">
        <f>IF(H48=7,"SI","")</f>
        <v/>
      </c>
      <c r="O48" s="34">
        <f>C48/7</f>
        <v/>
      </c>
    </row>
    <row r="49">
      <c r="A49" s="35" t="n">
        <v>46247</v>
      </c>
      <c r="B49" s="36" t="inlineStr">
        <is>
          <t>Jue</t>
        </is>
      </c>
      <c r="C49" s="6">
        <f>COUNTIF(Calendario!C47:I47,"")</f>
        <v/>
      </c>
      <c r="D49" s="6">
        <f>COUNTIF(Calendario!C47:I47,"TM")</f>
        <v/>
      </c>
      <c r="E49" s="6">
        <f>COUNTIF(Calendario!C47:I47,"TT")</f>
        <v/>
      </c>
      <c r="F49" s="6">
        <f>COUNTIF(Calendario!C47:I47,"TN")</f>
        <v/>
      </c>
      <c r="G49" s="6">
        <f>COUNTIF(Calendario!C47:I47,"FV")</f>
        <v/>
      </c>
      <c r="H49" s="6">
        <f>COUNTIF(Calendario!C47:I47,"FN")</f>
        <v/>
      </c>
      <c r="I49" s="6">
        <f>D49+E49+F49</f>
        <v/>
      </c>
      <c r="J49" s="6">
        <f>IF(C49&gt;=7,"SI","")</f>
        <v/>
      </c>
      <c r="K49" s="6">
        <f>IF(C49&gt;=6,"SI","")</f>
        <v/>
      </c>
      <c r="L49" s="6">
        <f>IF(C49&gt;=5,"SI","")</f>
        <v/>
      </c>
      <c r="M49" s="6">
        <f>IF(C49&gt;=4,"SI","")</f>
        <v/>
      </c>
      <c r="N49" s="6">
        <f>IF(H49=7,"SI","")</f>
        <v/>
      </c>
      <c r="O49" s="34">
        <f>C49/7</f>
        <v/>
      </c>
    </row>
    <row r="50">
      <c r="A50" s="33" t="n">
        <v>46248</v>
      </c>
      <c r="B50" s="6" t="inlineStr">
        <is>
          <t>Vie</t>
        </is>
      </c>
      <c r="C50" s="6">
        <f>COUNTIF(Calendario!C48:I48,"")</f>
        <v/>
      </c>
      <c r="D50" s="6">
        <f>COUNTIF(Calendario!C48:I48,"TM")</f>
        <v/>
      </c>
      <c r="E50" s="6">
        <f>COUNTIF(Calendario!C48:I48,"TT")</f>
        <v/>
      </c>
      <c r="F50" s="6">
        <f>COUNTIF(Calendario!C48:I48,"TN")</f>
        <v/>
      </c>
      <c r="G50" s="6">
        <f>COUNTIF(Calendario!C48:I48,"FV")</f>
        <v/>
      </c>
      <c r="H50" s="6">
        <f>COUNTIF(Calendario!C48:I48,"FN")</f>
        <v/>
      </c>
      <c r="I50" s="6">
        <f>D50+E50+F50</f>
        <v/>
      </c>
      <c r="J50" s="6">
        <f>IF(C50&gt;=7,"SI","")</f>
        <v/>
      </c>
      <c r="K50" s="6">
        <f>IF(C50&gt;=6,"SI","")</f>
        <v/>
      </c>
      <c r="L50" s="6">
        <f>IF(C50&gt;=5,"SI","")</f>
        <v/>
      </c>
      <c r="M50" s="6">
        <f>IF(C50&gt;=4,"SI","")</f>
        <v/>
      </c>
      <c r="N50" s="6">
        <f>IF(H50=7,"SI","")</f>
        <v/>
      </c>
      <c r="O50" s="34">
        <f>C50/7</f>
        <v/>
      </c>
    </row>
    <row r="51">
      <c r="A51" s="7" t="n">
        <v>46249</v>
      </c>
      <c r="B51" s="8" t="inlineStr">
        <is>
          <t>Sab</t>
        </is>
      </c>
      <c r="C51" s="6">
        <f>COUNTIF(Calendario!C49:I49,"")</f>
        <v/>
      </c>
      <c r="D51" s="6">
        <f>COUNTIF(Calendario!C49:I49,"TM")</f>
        <v/>
      </c>
      <c r="E51" s="6">
        <f>COUNTIF(Calendario!C49:I49,"TT")</f>
        <v/>
      </c>
      <c r="F51" s="6">
        <f>COUNTIF(Calendario!C49:I49,"TN")</f>
        <v/>
      </c>
      <c r="G51" s="6">
        <f>COUNTIF(Calendario!C49:I49,"FV")</f>
        <v/>
      </c>
      <c r="H51" s="6">
        <f>COUNTIF(Calendario!C49:I49,"FN")</f>
        <v/>
      </c>
      <c r="I51" s="6">
        <f>D51+E51+F51</f>
        <v/>
      </c>
      <c r="J51" s="6">
        <f>IF(C51&gt;=7,"SI","")</f>
        <v/>
      </c>
      <c r="K51" s="6">
        <f>IF(C51&gt;=6,"SI","")</f>
        <v/>
      </c>
      <c r="L51" s="6">
        <f>IF(C51&gt;=5,"SI","")</f>
        <v/>
      </c>
      <c r="M51" s="6">
        <f>IF(C51&gt;=4,"SI","")</f>
        <v/>
      </c>
      <c r="N51" s="6">
        <f>IF(H51=7,"SI","")</f>
        <v/>
      </c>
      <c r="O51" s="34">
        <f>C51/7</f>
        <v/>
      </c>
    </row>
    <row r="52">
      <c r="A52" s="7" t="n">
        <v>46250</v>
      </c>
      <c r="B52" s="8" t="inlineStr">
        <is>
          <t>Dom</t>
        </is>
      </c>
      <c r="C52" s="6">
        <f>COUNTIF(Calendario!C50:I50,"")</f>
        <v/>
      </c>
      <c r="D52" s="6">
        <f>COUNTIF(Calendario!C50:I50,"TM")</f>
        <v/>
      </c>
      <c r="E52" s="6">
        <f>COUNTIF(Calendario!C50:I50,"TT")</f>
        <v/>
      </c>
      <c r="F52" s="6">
        <f>COUNTIF(Calendario!C50:I50,"TN")</f>
        <v/>
      </c>
      <c r="G52" s="6">
        <f>COUNTIF(Calendario!C50:I50,"FV")</f>
        <v/>
      </c>
      <c r="H52" s="6">
        <f>COUNTIF(Calendario!C50:I50,"FN")</f>
        <v/>
      </c>
      <c r="I52" s="6">
        <f>D52+E52+F52</f>
        <v/>
      </c>
      <c r="J52" s="6">
        <f>IF(C52&gt;=7,"SI","")</f>
        <v/>
      </c>
      <c r="K52" s="6">
        <f>IF(C52&gt;=6,"SI","")</f>
        <v/>
      </c>
      <c r="L52" s="6">
        <f>IF(C52&gt;=5,"SI","")</f>
        <v/>
      </c>
      <c r="M52" s="6">
        <f>IF(C52&gt;=4,"SI","")</f>
        <v/>
      </c>
      <c r="N52" s="6">
        <f>IF(H52=7,"SI","")</f>
        <v/>
      </c>
      <c r="O52" s="34">
        <f>C52/7</f>
        <v/>
      </c>
    </row>
    <row r="53">
      <c r="A53" s="35" t="n">
        <v>46251</v>
      </c>
      <c r="B53" s="36" t="inlineStr">
        <is>
          <t>Lun</t>
        </is>
      </c>
      <c r="C53" s="6">
        <f>COUNTIF(Calendario!C51:I51,"")</f>
        <v/>
      </c>
      <c r="D53" s="6">
        <f>COUNTIF(Calendario!C51:I51,"TM")</f>
        <v/>
      </c>
      <c r="E53" s="6">
        <f>COUNTIF(Calendario!C51:I51,"TT")</f>
        <v/>
      </c>
      <c r="F53" s="6">
        <f>COUNTIF(Calendario!C51:I51,"TN")</f>
        <v/>
      </c>
      <c r="G53" s="6">
        <f>COUNTIF(Calendario!C51:I51,"FV")</f>
        <v/>
      </c>
      <c r="H53" s="6">
        <f>COUNTIF(Calendario!C51:I51,"FN")</f>
        <v/>
      </c>
      <c r="I53" s="6">
        <f>D53+E53+F53</f>
        <v/>
      </c>
      <c r="J53" s="6">
        <f>IF(C53&gt;=7,"SI","")</f>
        <v/>
      </c>
      <c r="K53" s="6">
        <f>IF(C53&gt;=6,"SI","")</f>
        <v/>
      </c>
      <c r="L53" s="6">
        <f>IF(C53&gt;=5,"SI","")</f>
        <v/>
      </c>
      <c r="M53" s="6">
        <f>IF(C53&gt;=4,"SI","")</f>
        <v/>
      </c>
      <c r="N53" s="6">
        <f>IF(H53=7,"SI","")</f>
        <v/>
      </c>
      <c r="O53" s="34">
        <f>C53/7</f>
        <v/>
      </c>
    </row>
    <row r="54">
      <c r="A54" s="33" t="n">
        <v>46252</v>
      </c>
      <c r="B54" s="6" t="inlineStr">
        <is>
          <t>Mar</t>
        </is>
      </c>
      <c r="C54" s="6">
        <f>COUNTIF(Calendario!C52:I52,"")</f>
        <v/>
      </c>
      <c r="D54" s="6">
        <f>COUNTIF(Calendario!C52:I52,"TM")</f>
        <v/>
      </c>
      <c r="E54" s="6">
        <f>COUNTIF(Calendario!C52:I52,"TT")</f>
        <v/>
      </c>
      <c r="F54" s="6">
        <f>COUNTIF(Calendario!C52:I52,"TN")</f>
        <v/>
      </c>
      <c r="G54" s="6">
        <f>COUNTIF(Calendario!C52:I52,"FV")</f>
        <v/>
      </c>
      <c r="H54" s="6">
        <f>COUNTIF(Calendario!C52:I52,"FN")</f>
        <v/>
      </c>
      <c r="I54" s="6">
        <f>D54+E54+F54</f>
        <v/>
      </c>
      <c r="J54" s="6">
        <f>IF(C54&gt;=7,"SI","")</f>
        <v/>
      </c>
      <c r="K54" s="6">
        <f>IF(C54&gt;=6,"SI","")</f>
        <v/>
      </c>
      <c r="L54" s="6">
        <f>IF(C54&gt;=5,"SI","")</f>
        <v/>
      </c>
      <c r="M54" s="6">
        <f>IF(C54&gt;=4,"SI","")</f>
        <v/>
      </c>
      <c r="N54" s="6">
        <f>IF(H54=7,"SI","")</f>
        <v/>
      </c>
      <c r="O54" s="34">
        <f>C54/7</f>
        <v/>
      </c>
    </row>
    <row r="55">
      <c r="A55" s="35" t="n">
        <v>46253</v>
      </c>
      <c r="B55" s="36" t="inlineStr">
        <is>
          <t>Mie</t>
        </is>
      </c>
      <c r="C55" s="6">
        <f>COUNTIF(Calendario!C53:I53,"")</f>
        <v/>
      </c>
      <c r="D55" s="6">
        <f>COUNTIF(Calendario!C53:I53,"TM")</f>
        <v/>
      </c>
      <c r="E55" s="6">
        <f>COUNTIF(Calendario!C53:I53,"TT")</f>
        <v/>
      </c>
      <c r="F55" s="6">
        <f>COUNTIF(Calendario!C53:I53,"TN")</f>
        <v/>
      </c>
      <c r="G55" s="6">
        <f>COUNTIF(Calendario!C53:I53,"FV")</f>
        <v/>
      </c>
      <c r="H55" s="6">
        <f>COUNTIF(Calendario!C53:I53,"FN")</f>
        <v/>
      </c>
      <c r="I55" s="6">
        <f>D55+E55+F55</f>
        <v/>
      </c>
      <c r="J55" s="6">
        <f>IF(C55&gt;=7,"SI","")</f>
        <v/>
      </c>
      <c r="K55" s="6">
        <f>IF(C55&gt;=6,"SI","")</f>
        <v/>
      </c>
      <c r="L55" s="6">
        <f>IF(C55&gt;=5,"SI","")</f>
        <v/>
      </c>
      <c r="M55" s="6">
        <f>IF(C55&gt;=4,"SI","")</f>
        <v/>
      </c>
      <c r="N55" s="6">
        <f>IF(H55=7,"SI","")</f>
        <v/>
      </c>
      <c r="O55" s="34">
        <f>C55/7</f>
        <v/>
      </c>
    </row>
    <row r="56">
      <c r="A56" s="33" t="n">
        <v>46254</v>
      </c>
      <c r="B56" s="6" t="inlineStr">
        <is>
          <t>Jue</t>
        </is>
      </c>
      <c r="C56" s="6">
        <f>COUNTIF(Calendario!C54:I54,"")</f>
        <v/>
      </c>
      <c r="D56" s="6">
        <f>COUNTIF(Calendario!C54:I54,"TM")</f>
        <v/>
      </c>
      <c r="E56" s="6">
        <f>COUNTIF(Calendario!C54:I54,"TT")</f>
        <v/>
      </c>
      <c r="F56" s="6">
        <f>COUNTIF(Calendario!C54:I54,"TN")</f>
        <v/>
      </c>
      <c r="G56" s="6">
        <f>COUNTIF(Calendario!C54:I54,"FV")</f>
        <v/>
      </c>
      <c r="H56" s="6">
        <f>COUNTIF(Calendario!C54:I54,"FN")</f>
        <v/>
      </c>
      <c r="I56" s="6">
        <f>D56+E56+F56</f>
        <v/>
      </c>
      <c r="J56" s="6">
        <f>IF(C56&gt;=7,"SI","")</f>
        <v/>
      </c>
      <c r="K56" s="6">
        <f>IF(C56&gt;=6,"SI","")</f>
        <v/>
      </c>
      <c r="L56" s="6">
        <f>IF(C56&gt;=5,"SI","")</f>
        <v/>
      </c>
      <c r="M56" s="6">
        <f>IF(C56&gt;=4,"SI","")</f>
        <v/>
      </c>
      <c r="N56" s="6">
        <f>IF(H56=7,"SI","")</f>
        <v/>
      </c>
      <c r="O56" s="34">
        <f>C56/7</f>
        <v/>
      </c>
    </row>
    <row r="57">
      <c r="A57" s="35" t="n">
        <v>46255</v>
      </c>
      <c r="B57" s="36" t="inlineStr">
        <is>
          <t>Vie</t>
        </is>
      </c>
      <c r="C57" s="6">
        <f>COUNTIF(Calendario!C55:I55,"")</f>
        <v/>
      </c>
      <c r="D57" s="6">
        <f>COUNTIF(Calendario!C55:I55,"TM")</f>
        <v/>
      </c>
      <c r="E57" s="6">
        <f>COUNTIF(Calendario!C55:I55,"TT")</f>
        <v/>
      </c>
      <c r="F57" s="6">
        <f>COUNTIF(Calendario!C55:I55,"TN")</f>
        <v/>
      </c>
      <c r="G57" s="6">
        <f>COUNTIF(Calendario!C55:I55,"FV")</f>
        <v/>
      </c>
      <c r="H57" s="6">
        <f>COUNTIF(Calendario!C55:I55,"FN")</f>
        <v/>
      </c>
      <c r="I57" s="6">
        <f>D57+E57+F57</f>
        <v/>
      </c>
      <c r="J57" s="6">
        <f>IF(C57&gt;=7,"SI","")</f>
        <v/>
      </c>
      <c r="K57" s="6">
        <f>IF(C57&gt;=6,"SI","")</f>
        <v/>
      </c>
      <c r="L57" s="6">
        <f>IF(C57&gt;=5,"SI","")</f>
        <v/>
      </c>
      <c r="M57" s="6">
        <f>IF(C57&gt;=4,"SI","")</f>
        <v/>
      </c>
      <c r="N57" s="6">
        <f>IF(H57=7,"SI","")</f>
        <v/>
      </c>
      <c r="O57" s="34">
        <f>C57/7</f>
        <v/>
      </c>
    </row>
    <row r="58">
      <c r="A58" s="7" t="n">
        <v>46256</v>
      </c>
      <c r="B58" s="8" t="inlineStr">
        <is>
          <t>Sab</t>
        </is>
      </c>
      <c r="C58" s="6">
        <f>COUNTIF(Calendario!C56:I56,"")</f>
        <v/>
      </c>
      <c r="D58" s="6">
        <f>COUNTIF(Calendario!C56:I56,"TM")</f>
        <v/>
      </c>
      <c r="E58" s="6">
        <f>COUNTIF(Calendario!C56:I56,"TT")</f>
        <v/>
      </c>
      <c r="F58" s="6">
        <f>COUNTIF(Calendario!C56:I56,"TN")</f>
        <v/>
      </c>
      <c r="G58" s="6">
        <f>COUNTIF(Calendario!C56:I56,"FV")</f>
        <v/>
      </c>
      <c r="H58" s="6">
        <f>COUNTIF(Calendario!C56:I56,"FN")</f>
        <v/>
      </c>
      <c r="I58" s="6">
        <f>D58+E58+F58</f>
        <v/>
      </c>
      <c r="J58" s="6">
        <f>IF(C58&gt;=7,"SI","")</f>
        <v/>
      </c>
      <c r="K58" s="6">
        <f>IF(C58&gt;=6,"SI","")</f>
        <v/>
      </c>
      <c r="L58" s="6">
        <f>IF(C58&gt;=5,"SI","")</f>
        <v/>
      </c>
      <c r="M58" s="6">
        <f>IF(C58&gt;=4,"SI","")</f>
        <v/>
      </c>
      <c r="N58" s="6">
        <f>IF(H58=7,"SI","")</f>
        <v/>
      </c>
      <c r="O58" s="34">
        <f>C58/7</f>
        <v/>
      </c>
    </row>
    <row r="59">
      <c r="A59" s="7" t="n">
        <v>46257</v>
      </c>
      <c r="B59" s="8" t="inlineStr">
        <is>
          <t>Dom</t>
        </is>
      </c>
      <c r="C59" s="6">
        <f>COUNTIF(Calendario!C57:I57,"")</f>
        <v/>
      </c>
      <c r="D59" s="6">
        <f>COUNTIF(Calendario!C57:I57,"TM")</f>
        <v/>
      </c>
      <c r="E59" s="6">
        <f>COUNTIF(Calendario!C57:I57,"TT")</f>
        <v/>
      </c>
      <c r="F59" s="6">
        <f>COUNTIF(Calendario!C57:I57,"TN")</f>
        <v/>
      </c>
      <c r="G59" s="6">
        <f>COUNTIF(Calendario!C57:I57,"FV")</f>
        <v/>
      </c>
      <c r="H59" s="6">
        <f>COUNTIF(Calendario!C57:I57,"FN")</f>
        <v/>
      </c>
      <c r="I59" s="6">
        <f>D59+E59+F59</f>
        <v/>
      </c>
      <c r="J59" s="6">
        <f>IF(C59&gt;=7,"SI","")</f>
        <v/>
      </c>
      <c r="K59" s="6">
        <f>IF(C59&gt;=6,"SI","")</f>
        <v/>
      </c>
      <c r="L59" s="6">
        <f>IF(C59&gt;=5,"SI","")</f>
        <v/>
      </c>
      <c r="M59" s="6">
        <f>IF(C59&gt;=4,"SI","")</f>
        <v/>
      </c>
      <c r="N59" s="6">
        <f>IF(H59=7,"SI","")</f>
        <v/>
      </c>
      <c r="O59" s="34">
        <f>C59/7</f>
        <v/>
      </c>
    </row>
    <row r="60">
      <c r="A60" s="33" t="n">
        <v>46258</v>
      </c>
      <c r="B60" s="6" t="inlineStr">
        <is>
          <t>Lun</t>
        </is>
      </c>
      <c r="C60" s="6">
        <f>COUNTIF(Calendario!C58:I58,"")</f>
        <v/>
      </c>
      <c r="D60" s="6">
        <f>COUNTIF(Calendario!C58:I58,"TM")</f>
        <v/>
      </c>
      <c r="E60" s="6">
        <f>COUNTIF(Calendario!C58:I58,"TT")</f>
        <v/>
      </c>
      <c r="F60" s="6">
        <f>COUNTIF(Calendario!C58:I58,"TN")</f>
        <v/>
      </c>
      <c r="G60" s="6">
        <f>COUNTIF(Calendario!C58:I58,"FV")</f>
        <v/>
      </c>
      <c r="H60" s="6">
        <f>COUNTIF(Calendario!C58:I58,"FN")</f>
        <v/>
      </c>
      <c r="I60" s="6">
        <f>D60+E60+F60</f>
        <v/>
      </c>
      <c r="J60" s="6">
        <f>IF(C60&gt;=7,"SI","")</f>
        <v/>
      </c>
      <c r="K60" s="6">
        <f>IF(C60&gt;=6,"SI","")</f>
        <v/>
      </c>
      <c r="L60" s="6">
        <f>IF(C60&gt;=5,"SI","")</f>
        <v/>
      </c>
      <c r="M60" s="6">
        <f>IF(C60&gt;=4,"SI","")</f>
        <v/>
      </c>
      <c r="N60" s="6">
        <f>IF(H60=7,"SI","")</f>
        <v/>
      </c>
      <c r="O60" s="34">
        <f>C60/7</f>
        <v/>
      </c>
    </row>
    <row r="61">
      <c r="A61" s="35" t="n">
        <v>46259</v>
      </c>
      <c r="B61" s="36" t="inlineStr">
        <is>
          <t>Mar</t>
        </is>
      </c>
      <c r="C61" s="6">
        <f>COUNTIF(Calendario!C59:I59,"")</f>
        <v/>
      </c>
      <c r="D61" s="6">
        <f>COUNTIF(Calendario!C59:I59,"TM")</f>
        <v/>
      </c>
      <c r="E61" s="6">
        <f>COUNTIF(Calendario!C59:I59,"TT")</f>
        <v/>
      </c>
      <c r="F61" s="6">
        <f>COUNTIF(Calendario!C59:I59,"TN")</f>
        <v/>
      </c>
      <c r="G61" s="6">
        <f>COUNTIF(Calendario!C59:I59,"FV")</f>
        <v/>
      </c>
      <c r="H61" s="6">
        <f>COUNTIF(Calendario!C59:I59,"FN")</f>
        <v/>
      </c>
      <c r="I61" s="6">
        <f>D61+E61+F61</f>
        <v/>
      </c>
      <c r="J61" s="6">
        <f>IF(C61&gt;=7,"SI","")</f>
        <v/>
      </c>
      <c r="K61" s="6">
        <f>IF(C61&gt;=6,"SI","")</f>
        <v/>
      </c>
      <c r="L61" s="6">
        <f>IF(C61&gt;=5,"SI","")</f>
        <v/>
      </c>
      <c r="M61" s="6">
        <f>IF(C61&gt;=4,"SI","")</f>
        <v/>
      </c>
      <c r="N61" s="6">
        <f>IF(H61=7,"SI","")</f>
        <v/>
      </c>
      <c r="O61" s="34">
        <f>C61/7</f>
        <v/>
      </c>
    </row>
    <row r="62">
      <c r="A62" s="33" t="n">
        <v>46260</v>
      </c>
      <c r="B62" s="6" t="inlineStr">
        <is>
          <t>Mie</t>
        </is>
      </c>
      <c r="C62" s="6">
        <f>COUNTIF(Calendario!C60:I60,"")</f>
        <v/>
      </c>
      <c r="D62" s="6">
        <f>COUNTIF(Calendario!C60:I60,"TM")</f>
        <v/>
      </c>
      <c r="E62" s="6">
        <f>COUNTIF(Calendario!C60:I60,"TT")</f>
        <v/>
      </c>
      <c r="F62" s="6">
        <f>COUNTIF(Calendario!C60:I60,"TN")</f>
        <v/>
      </c>
      <c r="G62" s="6">
        <f>COUNTIF(Calendario!C60:I60,"FV")</f>
        <v/>
      </c>
      <c r="H62" s="6">
        <f>COUNTIF(Calendario!C60:I60,"FN")</f>
        <v/>
      </c>
      <c r="I62" s="6">
        <f>D62+E62+F62</f>
        <v/>
      </c>
      <c r="J62" s="6">
        <f>IF(C62&gt;=7,"SI","")</f>
        <v/>
      </c>
      <c r="K62" s="6">
        <f>IF(C62&gt;=6,"SI","")</f>
        <v/>
      </c>
      <c r="L62" s="6">
        <f>IF(C62&gt;=5,"SI","")</f>
        <v/>
      </c>
      <c r="M62" s="6">
        <f>IF(C62&gt;=4,"SI","")</f>
        <v/>
      </c>
      <c r="N62" s="6">
        <f>IF(H62=7,"SI","")</f>
        <v/>
      </c>
      <c r="O62" s="34">
        <f>C62/7</f>
        <v/>
      </c>
    </row>
    <row r="63">
      <c r="A63" s="35" t="n">
        <v>46261</v>
      </c>
      <c r="B63" s="36" t="inlineStr">
        <is>
          <t>Jue</t>
        </is>
      </c>
      <c r="C63" s="6">
        <f>COUNTIF(Calendario!C61:I61,"")</f>
        <v/>
      </c>
      <c r="D63" s="6">
        <f>COUNTIF(Calendario!C61:I61,"TM")</f>
        <v/>
      </c>
      <c r="E63" s="6">
        <f>COUNTIF(Calendario!C61:I61,"TT")</f>
        <v/>
      </c>
      <c r="F63" s="6">
        <f>COUNTIF(Calendario!C61:I61,"TN")</f>
        <v/>
      </c>
      <c r="G63" s="6">
        <f>COUNTIF(Calendario!C61:I61,"FV")</f>
        <v/>
      </c>
      <c r="H63" s="6">
        <f>COUNTIF(Calendario!C61:I61,"FN")</f>
        <v/>
      </c>
      <c r="I63" s="6">
        <f>D63+E63+F63</f>
        <v/>
      </c>
      <c r="J63" s="6">
        <f>IF(C63&gt;=7,"SI","")</f>
        <v/>
      </c>
      <c r="K63" s="6">
        <f>IF(C63&gt;=6,"SI","")</f>
        <v/>
      </c>
      <c r="L63" s="6">
        <f>IF(C63&gt;=5,"SI","")</f>
        <v/>
      </c>
      <c r="M63" s="6">
        <f>IF(C63&gt;=4,"SI","")</f>
        <v/>
      </c>
      <c r="N63" s="6">
        <f>IF(H63=7,"SI","")</f>
        <v/>
      </c>
      <c r="O63" s="34">
        <f>C63/7</f>
        <v/>
      </c>
    </row>
    <row r="64">
      <c r="A64" s="33" t="n">
        <v>46262</v>
      </c>
      <c r="B64" s="6" t="inlineStr">
        <is>
          <t>Vie</t>
        </is>
      </c>
      <c r="C64" s="6">
        <f>COUNTIF(Calendario!C62:I62,"")</f>
        <v/>
      </c>
      <c r="D64" s="6">
        <f>COUNTIF(Calendario!C62:I62,"TM")</f>
        <v/>
      </c>
      <c r="E64" s="6">
        <f>COUNTIF(Calendario!C62:I62,"TT")</f>
        <v/>
      </c>
      <c r="F64" s="6">
        <f>COUNTIF(Calendario!C62:I62,"TN")</f>
        <v/>
      </c>
      <c r="G64" s="6">
        <f>COUNTIF(Calendario!C62:I62,"FV")</f>
        <v/>
      </c>
      <c r="H64" s="6">
        <f>COUNTIF(Calendario!C62:I62,"FN")</f>
        <v/>
      </c>
      <c r="I64" s="6">
        <f>D64+E64+F64</f>
        <v/>
      </c>
      <c r="J64" s="6">
        <f>IF(C64&gt;=7,"SI","")</f>
        <v/>
      </c>
      <c r="K64" s="6">
        <f>IF(C64&gt;=6,"SI","")</f>
        <v/>
      </c>
      <c r="L64" s="6">
        <f>IF(C64&gt;=5,"SI","")</f>
        <v/>
      </c>
      <c r="M64" s="6">
        <f>IF(C64&gt;=4,"SI","")</f>
        <v/>
      </c>
      <c r="N64" s="6">
        <f>IF(H64=7,"SI","")</f>
        <v/>
      </c>
      <c r="O64" s="34">
        <f>C64/7</f>
        <v/>
      </c>
    </row>
    <row r="65">
      <c r="A65" s="7" t="n">
        <v>46263</v>
      </c>
      <c r="B65" s="8" t="inlineStr">
        <is>
          <t>Sab</t>
        </is>
      </c>
      <c r="C65" s="6">
        <f>COUNTIF(Calendario!C63:I63,"")</f>
        <v/>
      </c>
      <c r="D65" s="6">
        <f>COUNTIF(Calendario!C63:I63,"TM")</f>
        <v/>
      </c>
      <c r="E65" s="6">
        <f>COUNTIF(Calendario!C63:I63,"TT")</f>
        <v/>
      </c>
      <c r="F65" s="6">
        <f>COUNTIF(Calendario!C63:I63,"TN")</f>
        <v/>
      </c>
      <c r="G65" s="6">
        <f>COUNTIF(Calendario!C63:I63,"FV")</f>
        <v/>
      </c>
      <c r="H65" s="6">
        <f>COUNTIF(Calendario!C63:I63,"FN")</f>
        <v/>
      </c>
      <c r="I65" s="6">
        <f>D65+E65+F65</f>
        <v/>
      </c>
      <c r="J65" s="6">
        <f>IF(C65&gt;=7,"SI","")</f>
        <v/>
      </c>
      <c r="K65" s="6">
        <f>IF(C65&gt;=6,"SI","")</f>
        <v/>
      </c>
      <c r="L65" s="6">
        <f>IF(C65&gt;=5,"SI","")</f>
        <v/>
      </c>
      <c r="M65" s="6">
        <f>IF(C65&gt;=4,"SI","")</f>
        <v/>
      </c>
      <c r="N65" s="6">
        <f>IF(H65=7,"SI","")</f>
        <v/>
      </c>
      <c r="O65" s="34">
        <f>C65/7</f>
        <v/>
      </c>
    </row>
    <row r="66">
      <c r="A66" s="7" t="n">
        <v>46264</v>
      </c>
      <c r="B66" s="8" t="inlineStr">
        <is>
          <t>Dom</t>
        </is>
      </c>
      <c r="C66" s="6">
        <f>COUNTIF(Calendario!C64:I64,"")</f>
        <v/>
      </c>
      <c r="D66" s="6">
        <f>COUNTIF(Calendario!C64:I64,"TM")</f>
        <v/>
      </c>
      <c r="E66" s="6">
        <f>COUNTIF(Calendario!C64:I64,"TT")</f>
        <v/>
      </c>
      <c r="F66" s="6">
        <f>COUNTIF(Calendario!C64:I64,"TN")</f>
        <v/>
      </c>
      <c r="G66" s="6">
        <f>COUNTIF(Calendario!C64:I64,"FV")</f>
        <v/>
      </c>
      <c r="H66" s="6">
        <f>COUNTIF(Calendario!C64:I64,"FN")</f>
        <v/>
      </c>
      <c r="I66" s="6">
        <f>D66+E66+F66</f>
        <v/>
      </c>
      <c r="J66" s="6">
        <f>IF(C66&gt;=7,"SI","")</f>
        <v/>
      </c>
      <c r="K66" s="6">
        <f>IF(C66&gt;=6,"SI","")</f>
        <v/>
      </c>
      <c r="L66" s="6">
        <f>IF(C66&gt;=5,"SI","")</f>
        <v/>
      </c>
      <c r="M66" s="6">
        <f>IF(C66&gt;=4,"SI","")</f>
        <v/>
      </c>
      <c r="N66" s="6">
        <f>IF(H66=7,"SI","")</f>
        <v/>
      </c>
      <c r="O66" s="34">
        <f>C66/7</f>
        <v/>
      </c>
    </row>
    <row r="67">
      <c r="A67" s="35" t="n">
        <v>46265</v>
      </c>
      <c r="B67" s="36" t="inlineStr">
        <is>
          <t>Lun</t>
        </is>
      </c>
      <c r="C67" s="6">
        <f>COUNTIF(Calendario!C65:I65,"")</f>
        <v/>
      </c>
      <c r="D67" s="6">
        <f>COUNTIF(Calendario!C65:I65,"TM")</f>
        <v/>
      </c>
      <c r="E67" s="6">
        <f>COUNTIF(Calendario!C65:I65,"TT")</f>
        <v/>
      </c>
      <c r="F67" s="6">
        <f>COUNTIF(Calendario!C65:I65,"TN")</f>
        <v/>
      </c>
      <c r="G67" s="6">
        <f>COUNTIF(Calendario!C65:I65,"FV")</f>
        <v/>
      </c>
      <c r="H67" s="6">
        <f>COUNTIF(Calendario!C65:I65,"FN")</f>
        <v/>
      </c>
      <c r="I67" s="6">
        <f>D67+E67+F67</f>
        <v/>
      </c>
      <c r="J67" s="6">
        <f>IF(C67&gt;=7,"SI","")</f>
        <v/>
      </c>
      <c r="K67" s="6">
        <f>IF(C67&gt;=6,"SI","")</f>
        <v/>
      </c>
      <c r="L67" s="6">
        <f>IF(C67&gt;=5,"SI","")</f>
        <v/>
      </c>
      <c r="M67" s="6">
        <f>IF(C67&gt;=4,"SI","")</f>
        <v/>
      </c>
      <c r="N67" s="6">
        <f>IF(H67=7,"SI","")</f>
        <v/>
      </c>
      <c r="O67" s="34">
        <f>C67/7</f>
        <v/>
      </c>
    </row>
    <row r="68" ht="30" customHeight="1">
      <c r="A68" s="37" t="inlineStr">
        <is>
          <t xml:space="preserve">  TOTALES</t>
        </is>
      </c>
      <c r="B68" s="3" t="n"/>
      <c r="C68" s="38">
        <f>SUM(C6:C67)</f>
        <v/>
      </c>
      <c r="D68" s="38">
        <f>SUM(D6:D67)</f>
        <v/>
      </c>
      <c r="E68" s="38">
        <f>SUM(E6:E67)</f>
        <v/>
      </c>
      <c r="F68" s="38">
        <f>SUM(F6:F67)</f>
        <v/>
      </c>
      <c r="G68" s="38">
        <f>SUM(G6:G67)</f>
        <v/>
      </c>
      <c r="H68" s="38">
        <f>SUM(H6:H67)</f>
        <v/>
      </c>
      <c r="I68" s="38">
        <f>SUM(I6:I67)</f>
        <v/>
      </c>
      <c r="J68" s="38">
        <f>SUM(J6:J67)</f>
        <v/>
      </c>
      <c r="K68" s="38">
        <f>SUM(K6:K67)</f>
        <v/>
      </c>
      <c r="L68" s="38">
        <f>SUM(L6:L67)</f>
        <v/>
      </c>
      <c r="M68" s="38">
        <f>SUM(M6:M67)</f>
        <v/>
      </c>
      <c r="N68" s="38">
        <f>SUM(N6:N67)</f>
        <v/>
      </c>
      <c r="O68" s="39">
        <f>AVERAGE(O6:O67)</f>
        <v/>
      </c>
    </row>
  </sheetData>
  <mergeCells count="3">
    <mergeCell ref="J5:M5"/>
    <mergeCell ref="A68:B68"/>
    <mergeCell ref="A1:N1"/>
  </mergeCells>
  <conditionalFormatting sqref="J6:J67">
    <cfRule type="cellIs" priority="1" operator="equal" dxfId="9">
      <formula>"SI"</formula>
    </cfRule>
  </conditionalFormatting>
  <conditionalFormatting sqref="K6:K67">
    <cfRule type="cellIs" priority="2" operator="equal" dxfId="10">
      <formula>"SI"</formula>
    </cfRule>
  </conditionalFormatting>
  <conditionalFormatting sqref="L6:L67">
    <cfRule type="cellIs" priority="3" operator="equal" dxfId="11">
      <formula>"SI"</formula>
    </cfRule>
  </conditionalFormatting>
  <conditionalFormatting sqref="M6:M67">
    <cfRule type="cellIs" priority="4" operator="equal" dxfId="12">
      <formula>"SI"</formula>
    </cfRule>
  </conditionalFormatting>
  <conditionalFormatting sqref="N6:N67">
    <cfRule type="cellIs" priority="5" operator="equal" dxfId="13">
      <formula>"SI"</formula>
    </cfRule>
  </conditionalFormatting>
  <conditionalFormatting sqref="O6:O67">
    <cfRule type="colorScale" priority="6">
      <colorScale>
        <cfvo type="min"/>
        <cfvo type="percentile" val="50"/>
        <cfvo type="max"/>
        <color rgb="00E74C3C"/>
        <color rgb="00F8C471"/>
        <color rgb="0027AE60"/>
      </colorScale>
    </cfRule>
  </conditionalFormatting>
  <conditionalFormatting sqref="A6:B67">
    <cfRule type="expression" priority="7" dxfId="14">
      <formula>OR(B6="Sab",B6="Dom")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0" t="inlineStr">
        <is>
          <t xml:space="preserve">  JULIO 2026  —  Quien puede cada dia</t>
        </is>
      </c>
      <c r="B1" s="15" t="n"/>
      <c r="C1" s="15" t="n"/>
      <c r="D1" s="15" t="n"/>
      <c r="E1" s="16" t="n"/>
    </row>
    <row r="2" ht="22" customHeight="1">
      <c r="A2" s="6" t="n">
        <v>1</v>
      </c>
      <c r="B2" s="33" t="n">
        <v>46204</v>
      </c>
      <c r="C2" s="6" t="inlineStr">
        <is>
          <t>Mie</t>
        </is>
      </c>
      <c r="D2" s="41">
        <f>TEXTJOIN(", ";TRUE,IF(Calendario!C3="","RESI",""), IF(Calendario!D3="","OSCAR",""), IF(Calendario!E3="","CLARA",""), IF(Calendario!F3="","ANNA",""), IF(Calendario!G3="","PEPE",""), IF(Calendario!H3="","IVAN",""), IF(Calendario!I3="","YERAY",""))</f>
        <v/>
      </c>
      <c r="E2" s="41">
        <f>TEXTJOIN(", ";TRUE,IF(Calendario!C3&lt;&gt;"","RESI("&amp;Calendario!C3&amp;")",""), IF(Calendario!D3&lt;&gt;"","OSCAR("&amp;Calendario!D3&amp;")",""), IF(Calendario!E3&lt;&gt;"","CLARA("&amp;Calendario!E3&amp;")",""), IF(Calendario!F3&lt;&gt;"","ANNA("&amp;Calendario!F3&amp;")",""), IF(Calendario!G3&lt;&gt;"","PEPE("&amp;Calendario!G3&amp;")",""), IF(Calendario!H3&lt;&gt;"","IVAN("&amp;Calendario!H3&amp;")",""), IF(Calendario!I3&lt;&gt;"","YERAY("&amp;Calendario!I3&amp;")",""))</f>
        <v/>
      </c>
    </row>
    <row r="3" ht="22" customHeight="1">
      <c r="A3" s="6" t="n">
        <v>2</v>
      </c>
      <c r="B3" s="33" t="n">
        <v>46205</v>
      </c>
      <c r="C3" s="6" t="inlineStr">
        <is>
          <t>Jue</t>
        </is>
      </c>
      <c r="D3" s="41">
        <f>TEXTJOIN(", ";TRUE,IF(Calendario!C4="","RESI",""), IF(Calendario!D4="","OSCAR",""), IF(Calendario!E4="","CLARA",""), IF(Calendario!F4="","ANNA",""), IF(Calendario!G4="","PEPE",""), IF(Calendario!H4="","IVAN",""), IF(Calendario!I4="","YERAY",""))</f>
        <v/>
      </c>
      <c r="E3" s="41">
        <f>TEXTJOIN(", ";TRUE,IF(Calendario!C4&lt;&gt;"","RESI("&amp;Calendario!C4&amp;")",""), IF(Calendario!D4&lt;&gt;"","OSCAR("&amp;Calendario!D4&amp;")",""), IF(Calendario!E4&lt;&gt;"","CLARA("&amp;Calendario!E4&amp;")",""), IF(Calendario!F4&lt;&gt;"","ANNA("&amp;Calendario!F4&amp;")",""), IF(Calendario!G4&lt;&gt;"","PEPE("&amp;Calendario!G4&amp;")",""), IF(Calendario!H4&lt;&gt;"","IVAN("&amp;Calendario!H4&amp;")",""), IF(Calendario!I4&lt;&gt;"","YERAY("&amp;Calendario!I4&amp;")",""))</f>
        <v/>
      </c>
    </row>
    <row r="4" ht="22" customHeight="1">
      <c r="A4" s="6" t="n">
        <v>3</v>
      </c>
      <c r="B4" s="33" t="n">
        <v>46206</v>
      </c>
      <c r="C4" s="6" t="inlineStr">
        <is>
          <t>Vie</t>
        </is>
      </c>
      <c r="D4" s="41">
        <f>TEXTJOIN(", ";TRUE,IF(Calendario!C5="","RESI",""), IF(Calendario!D5="","OSCAR",""), IF(Calendario!E5="","CLARA",""), IF(Calendario!F5="","ANNA",""), IF(Calendario!G5="","PEPE",""), IF(Calendario!H5="","IVAN",""), IF(Calendario!I5="","YERAY",""))</f>
        <v/>
      </c>
      <c r="E4" s="41">
        <f>TEXTJOIN(", ";TRUE,IF(Calendario!C5&lt;&gt;"","RESI("&amp;Calendario!C5&amp;")",""), IF(Calendario!D5&lt;&gt;"","OSCAR("&amp;Calendario!D5&amp;")",""), IF(Calendario!E5&lt;&gt;"","CLARA("&amp;Calendario!E5&amp;")",""), IF(Calendario!F5&lt;&gt;"","ANNA("&amp;Calendario!F5&amp;")",""), IF(Calendario!G5&lt;&gt;"","PEPE("&amp;Calendario!G5&amp;")",""), IF(Calendario!H5&lt;&gt;"","IVAN("&amp;Calendario!H5&amp;")",""), IF(Calendario!I5&lt;&gt;"","YERAY("&amp;Calendario!I5&amp;")",""))</f>
        <v/>
      </c>
    </row>
    <row r="5" ht="22" customHeight="1">
      <c r="A5" s="8" t="n">
        <v>4</v>
      </c>
      <c r="B5" s="7" t="n">
        <v>46207</v>
      </c>
      <c r="C5" s="8" t="inlineStr">
        <is>
          <t>Sab</t>
        </is>
      </c>
      <c r="D5" s="42">
        <f>TEXTJOIN(", ";TRUE,IF(Calendario!C6="","RESI",""), IF(Calendario!D6="","OSCAR",""), IF(Calendario!E6="","CLARA",""), IF(Calendario!F6="","ANNA",""), IF(Calendario!G6="","PEPE",""), IF(Calendario!H6="","IVAN",""), IF(Calendario!I6="","YERAY",""))</f>
        <v/>
      </c>
      <c r="E5" s="42">
        <f>TEXTJOIN(", ";TRUE,IF(Calendario!C6&lt;&gt;"","RESI("&amp;Calendario!C6&amp;")",""), IF(Calendario!D6&lt;&gt;"","OSCAR("&amp;Calendario!D6&amp;")",""), IF(Calendario!E6&lt;&gt;"","CLARA("&amp;Calendario!E6&amp;")",""), IF(Calendario!F6&lt;&gt;"","ANNA("&amp;Calendario!F6&amp;")",""), IF(Calendario!G6&lt;&gt;"","PEPE("&amp;Calendario!G6&amp;")",""), IF(Calendario!H6&lt;&gt;"","IVAN("&amp;Calendario!H6&amp;")",""), IF(Calendario!I6&lt;&gt;"","YERAY("&amp;Calendario!I6&amp;")",""))</f>
        <v/>
      </c>
    </row>
    <row r="6" ht="22" customHeight="1">
      <c r="A6" s="8" t="n">
        <v>5</v>
      </c>
      <c r="B6" s="7" t="n">
        <v>46208</v>
      </c>
      <c r="C6" s="8" t="inlineStr">
        <is>
          <t>Dom</t>
        </is>
      </c>
      <c r="D6" s="42">
        <f>TEXTJOIN(", ";TRUE,IF(Calendario!C7="","RESI",""), IF(Calendario!D7="","OSCAR",""), IF(Calendario!E7="","CLARA",""), IF(Calendario!F7="","ANNA",""), IF(Calendario!G7="","PEPE",""), IF(Calendario!H7="","IVAN",""), IF(Calendario!I7="","YERAY",""))</f>
        <v/>
      </c>
      <c r="E6" s="42">
        <f>TEXTJOIN(", ";TRUE,IF(Calendario!C7&lt;&gt;"","RESI("&amp;Calendario!C7&amp;")",""), IF(Calendario!D7&lt;&gt;"","OSCAR("&amp;Calendario!D7&amp;")",""), IF(Calendario!E7&lt;&gt;"","CLARA("&amp;Calendario!E7&amp;")",""), IF(Calendario!F7&lt;&gt;"","ANNA("&amp;Calendario!F7&amp;")",""), IF(Calendario!G7&lt;&gt;"","PEPE("&amp;Calendario!G7&amp;")",""), IF(Calendario!H7&lt;&gt;"","IVAN("&amp;Calendario!H7&amp;")",""), IF(Calendario!I7&lt;&gt;"","YERAY("&amp;Calendario!I7&amp;")",""))</f>
        <v/>
      </c>
    </row>
    <row r="7" ht="22" customHeight="1">
      <c r="A7" s="6" t="n">
        <v>6</v>
      </c>
      <c r="B7" s="33" t="n">
        <v>46209</v>
      </c>
      <c r="C7" s="6" t="inlineStr">
        <is>
          <t>Lun</t>
        </is>
      </c>
      <c r="D7" s="41">
        <f>TEXTJOIN(", ";TRUE,IF(Calendario!C8="","RESI",""), IF(Calendario!D8="","OSCAR",""), IF(Calendario!E8="","CLARA",""), IF(Calendario!F8="","ANNA",""), IF(Calendario!G8="","PEPE",""), IF(Calendario!H8="","IVAN",""), IF(Calendario!I8="","YERAY",""))</f>
        <v/>
      </c>
      <c r="E7" s="41">
        <f>TEXTJOIN(", ";TRUE,IF(Calendario!C8&lt;&gt;"","RESI("&amp;Calendario!C8&amp;")",""), IF(Calendario!D8&lt;&gt;"","OSCAR("&amp;Calendario!D8&amp;")",""), IF(Calendario!E8&lt;&gt;"","CLARA("&amp;Calendario!E8&amp;")",""), IF(Calendario!F8&lt;&gt;"","ANNA("&amp;Calendario!F8&amp;")",""), IF(Calendario!G8&lt;&gt;"","PEPE("&amp;Calendario!G8&amp;")",""), IF(Calendario!H8&lt;&gt;"","IVAN("&amp;Calendario!H8&amp;")",""), IF(Calendario!I8&lt;&gt;"","YERAY("&amp;Calendario!I8&amp;")",""))</f>
        <v/>
      </c>
    </row>
    <row r="8" ht="22" customHeight="1">
      <c r="A8" s="6" t="n">
        <v>7</v>
      </c>
      <c r="B8" s="33" t="n">
        <v>46210</v>
      </c>
      <c r="C8" s="6" t="inlineStr">
        <is>
          <t>Mar</t>
        </is>
      </c>
      <c r="D8" s="41">
        <f>TEXTJOIN(", ";TRUE,IF(Calendario!C9="","RESI",""), IF(Calendario!D9="","OSCAR",""), IF(Calendario!E9="","CLARA",""), IF(Calendario!F9="","ANNA",""), IF(Calendario!G9="","PEPE",""), IF(Calendario!H9="","IVAN",""), IF(Calendario!I9="","YERAY",""))</f>
        <v/>
      </c>
      <c r="E8" s="41">
        <f>TEXTJOIN(", ";TRUE,IF(Calendario!C9&lt;&gt;"","RESI("&amp;Calendario!C9&amp;")",""), IF(Calendario!D9&lt;&gt;"","OSCAR("&amp;Calendario!D9&amp;")",""), IF(Calendario!E9&lt;&gt;"","CLARA("&amp;Calendario!E9&amp;")",""), IF(Calendario!F9&lt;&gt;"","ANNA("&amp;Calendario!F9&amp;")",""), IF(Calendario!G9&lt;&gt;"","PEPE("&amp;Calendario!G9&amp;")",""), IF(Calendario!H9&lt;&gt;"","IVAN("&amp;Calendario!H9&amp;")",""), IF(Calendario!I9&lt;&gt;"","YERAY("&amp;Calendario!I9&amp;")",""))</f>
        <v/>
      </c>
    </row>
    <row r="9" ht="22" customHeight="1">
      <c r="A9" s="6" t="n">
        <v>8</v>
      </c>
      <c r="B9" s="33" t="n">
        <v>46211</v>
      </c>
      <c r="C9" s="6" t="inlineStr">
        <is>
          <t>Mie</t>
        </is>
      </c>
      <c r="D9" s="41">
        <f>TEXTJOIN(", ";TRUE,IF(Calendario!C10="","RESI",""), IF(Calendario!D10="","OSCAR",""), IF(Calendario!E10="","CLARA",""), IF(Calendario!F10="","ANNA",""), IF(Calendario!G10="","PEPE",""), IF(Calendario!H10="","IVAN",""), IF(Calendario!I10="","YERAY",""))</f>
        <v/>
      </c>
      <c r="E9" s="41">
        <f>TEXTJOIN(", ";TRUE,IF(Calendario!C10&lt;&gt;"","RESI("&amp;Calendario!C10&amp;")",""), IF(Calendario!D10&lt;&gt;"","OSCAR("&amp;Calendario!D10&amp;")",""), IF(Calendario!E10&lt;&gt;"","CLARA("&amp;Calendario!E10&amp;")",""), IF(Calendario!F10&lt;&gt;"","ANNA("&amp;Calendario!F10&amp;")",""), IF(Calendario!G10&lt;&gt;"","PEPE("&amp;Calendario!G10&amp;")",""), IF(Calendario!H10&lt;&gt;"","IVAN("&amp;Calendario!H10&amp;")",""), IF(Calendario!I10&lt;&gt;"","YERAY("&amp;Calendario!I10&amp;")",""))</f>
        <v/>
      </c>
    </row>
    <row r="10" ht="22" customHeight="1">
      <c r="A10" s="6" t="n">
        <v>9</v>
      </c>
      <c r="B10" s="33" t="n">
        <v>46212</v>
      </c>
      <c r="C10" s="6" t="inlineStr">
        <is>
          <t>Jue</t>
        </is>
      </c>
      <c r="D10" s="41">
        <f>TEXTJOIN(", ";TRUE,IF(Calendario!C11="","RESI",""), IF(Calendario!D11="","OSCAR",""), IF(Calendario!E11="","CLARA",""), IF(Calendario!F11="","ANNA",""), IF(Calendario!G11="","PEPE",""), IF(Calendario!H11="","IVAN",""), IF(Calendario!I11="","YERAY",""))</f>
        <v/>
      </c>
      <c r="E10" s="41">
        <f>TEXTJOIN(", ";TRUE,IF(Calendario!C11&lt;&gt;"","RESI("&amp;Calendario!C11&amp;")",""), IF(Calendario!D11&lt;&gt;"","OSCAR("&amp;Calendario!D11&amp;")",""), IF(Calendario!E11&lt;&gt;"","CLARA("&amp;Calendario!E11&amp;")",""), IF(Calendario!F11&lt;&gt;"","ANNA("&amp;Calendario!F11&amp;")",""), IF(Calendario!G11&lt;&gt;"","PEPE("&amp;Calendario!G11&amp;")",""), IF(Calendario!H11&lt;&gt;"","IVAN("&amp;Calendario!H11&amp;")",""), IF(Calendario!I11&lt;&gt;"","YERAY("&amp;Calendario!I11&amp;")",""))</f>
        <v/>
      </c>
    </row>
    <row r="11" ht="22" customHeight="1">
      <c r="A11" s="6" t="n">
        <v>10</v>
      </c>
      <c r="B11" s="33" t="n">
        <v>46213</v>
      </c>
      <c r="C11" s="6" t="inlineStr">
        <is>
          <t>Vie</t>
        </is>
      </c>
      <c r="D11" s="41">
        <f>TEXTJOIN(", ";TRUE,IF(Calendario!C12="","RESI",""), IF(Calendario!D12="","OSCAR",""), IF(Calendario!E12="","CLARA",""), IF(Calendario!F12="","ANNA",""), IF(Calendario!G12="","PEPE",""), IF(Calendario!H12="","IVAN",""), IF(Calendario!I12="","YERAY",""))</f>
        <v/>
      </c>
      <c r="E11" s="41">
        <f>TEXTJOIN(", ";TRUE,IF(Calendario!C12&lt;&gt;"","RESI("&amp;Calendario!C12&amp;")",""), IF(Calendario!D12&lt;&gt;"","OSCAR("&amp;Calendario!D12&amp;")",""), IF(Calendario!E12&lt;&gt;"","CLARA("&amp;Calendario!E12&amp;")",""), IF(Calendario!F12&lt;&gt;"","ANNA("&amp;Calendario!F12&amp;")",""), IF(Calendario!G12&lt;&gt;"","PEPE("&amp;Calendario!G12&amp;")",""), IF(Calendario!H12&lt;&gt;"","IVAN("&amp;Calendario!H12&amp;")",""), IF(Calendario!I12&lt;&gt;"","YERAY("&amp;Calendario!I12&amp;")",""))</f>
        <v/>
      </c>
    </row>
    <row r="12" ht="22" customHeight="1">
      <c r="A12" s="8" t="n">
        <v>11</v>
      </c>
      <c r="B12" s="7" t="n">
        <v>46214</v>
      </c>
      <c r="C12" s="8" t="inlineStr">
        <is>
          <t>Sab</t>
        </is>
      </c>
      <c r="D12" s="42">
        <f>TEXTJOIN(", ";TRUE,IF(Calendario!C13="","RESI",""), IF(Calendario!D13="","OSCAR",""), IF(Calendario!E13="","CLARA",""), IF(Calendario!F13="","ANNA",""), IF(Calendario!G13="","PEPE",""), IF(Calendario!H13="","IVAN",""), IF(Calendario!I13="","YERAY",""))</f>
        <v/>
      </c>
      <c r="E12" s="42">
        <f>TEXTJOIN(", ";TRUE,IF(Calendario!C13&lt;&gt;"","RESI("&amp;Calendario!C13&amp;")",""), IF(Calendario!D13&lt;&gt;"","OSCAR("&amp;Calendario!D13&amp;")",""), IF(Calendario!E13&lt;&gt;"","CLARA("&amp;Calendario!E13&amp;")",""), IF(Calendario!F13&lt;&gt;"","ANNA("&amp;Calendario!F13&amp;")",""), IF(Calendario!G13&lt;&gt;"","PEPE("&amp;Calendario!G13&amp;")",""), IF(Calendario!H13&lt;&gt;"","IVAN("&amp;Calendario!H13&amp;")",""), IF(Calendario!I13&lt;&gt;"","YERAY("&amp;Calendario!I13&amp;")",""))</f>
        <v/>
      </c>
    </row>
    <row r="13" ht="22" customHeight="1">
      <c r="A13" s="8" t="n">
        <v>12</v>
      </c>
      <c r="B13" s="7" t="n">
        <v>46215</v>
      </c>
      <c r="C13" s="8" t="inlineStr">
        <is>
          <t>Dom</t>
        </is>
      </c>
      <c r="D13" s="42">
        <f>TEXTJOIN(", ";TRUE,IF(Calendario!C14="","RESI",""), IF(Calendario!D14="","OSCAR",""), IF(Calendario!E14="","CLARA",""), IF(Calendario!F14="","ANNA",""), IF(Calendario!G14="","PEPE",""), IF(Calendario!H14="","IVAN",""), IF(Calendario!I14="","YERAY",""))</f>
        <v/>
      </c>
      <c r="E13" s="42">
        <f>TEXTJOIN(", ";TRUE,IF(Calendario!C14&lt;&gt;"","RESI("&amp;Calendario!C14&amp;")",""), IF(Calendario!D14&lt;&gt;"","OSCAR("&amp;Calendario!D14&amp;")",""), IF(Calendario!E14&lt;&gt;"","CLARA("&amp;Calendario!E14&amp;")",""), IF(Calendario!F14&lt;&gt;"","ANNA("&amp;Calendario!F14&amp;")",""), IF(Calendario!G14&lt;&gt;"","PEPE("&amp;Calendario!G14&amp;")",""), IF(Calendario!H14&lt;&gt;"","IVAN("&amp;Calendario!H14&amp;")",""), IF(Calendario!I14&lt;&gt;"","YERAY("&amp;Calendario!I14&amp;")",""))</f>
        <v/>
      </c>
    </row>
    <row r="14" ht="22" customHeight="1">
      <c r="A14" s="6" t="n">
        <v>13</v>
      </c>
      <c r="B14" s="33" t="n">
        <v>46216</v>
      </c>
      <c r="C14" s="6" t="inlineStr">
        <is>
          <t>Lun</t>
        </is>
      </c>
      <c r="D14" s="41">
        <f>TEXTJOIN(", ";TRUE,IF(Calendario!C15="","RESI",""), IF(Calendario!D15="","OSCAR",""), IF(Calendario!E15="","CLARA",""), IF(Calendario!F15="","ANNA",""), IF(Calendario!G15="","PEPE",""), IF(Calendario!H15="","IVAN",""), IF(Calendario!I15="","YERAY",""))</f>
        <v/>
      </c>
      <c r="E14" s="41">
        <f>TEXTJOIN(", ";TRUE,IF(Calendario!C15&lt;&gt;"","RESI("&amp;Calendario!C15&amp;")",""), IF(Calendario!D15&lt;&gt;"","OSCAR("&amp;Calendario!D15&amp;")",""), IF(Calendario!E15&lt;&gt;"","CLARA("&amp;Calendario!E15&amp;")",""), IF(Calendario!F15&lt;&gt;"","ANNA("&amp;Calendario!F15&amp;")",""), IF(Calendario!G15&lt;&gt;"","PEPE("&amp;Calendario!G15&amp;")",""), IF(Calendario!H15&lt;&gt;"","IVAN("&amp;Calendario!H15&amp;")",""), IF(Calendario!I15&lt;&gt;"","YERAY("&amp;Calendario!I15&amp;")",""))</f>
        <v/>
      </c>
    </row>
    <row r="15" ht="22" customHeight="1">
      <c r="A15" s="6" t="n">
        <v>14</v>
      </c>
      <c r="B15" s="33" t="n">
        <v>46217</v>
      </c>
      <c r="C15" s="6" t="inlineStr">
        <is>
          <t>Mar</t>
        </is>
      </c>
      <c r="D15" s="41">
        <f>TEXTJOIN(", ";TRUE,IF(Calendario!C16="","RESI",""), IF(Calendario!D16="","OSCAR",""), IF(Calendario!E16="","CLARA",""), IF(Calendario!F16="","ANNA",""), IF(Calendario!G16="","PEPE",""), IF(Calendario!H16="","IVAN",""), IF(Calendario!I16="","YERAY",""))</f>
        <v/>
      </c>
      <c r="E15" s="41">
        <f>TEXTJOIN(", ";TRUE,IF(Calendario!C16&lt;&gt;"","RESI("&amp;Calendario!C16&amp;")",""), IF(Calendario!D16&lt;&gt;"","OSCAR("&amp;Calendario!D16&amp;")",""), IF(Calendario!E16&lt;&gt;"","CLARA("&amp;Calendario!E16&amp;")",""), IF(Calendario!F16&lt;&gt;"","ANNA("&amp;Calendario!F16&amp;")",""), IF(Calendario!G16&lt;&gt;"","PEPE("&amp;Calendario!G16&amp;")",""), IF(Calendario!H16&lt;&gt;"","IVAN("&amp;Calendario!H16&amp;")",""), IF(Calendario!I16&lt;&gt;"","YERAY("&amp;Calendario!I16&amp;")",""))</f>
        <v/>
      </c>
    </row>
    <row r="16" ht="22" customHeight="1">
      <c r="A16" s="6" t="n">
        <v>15</v>
      </c>
      <c r="B16" s="33" t="n">
        <v>46218</v>
      </c>
      <c r="C16" s="6" t="inlineStr">
        <is>
          <t>Mie</t>
        </is>
      </c>
      <c r="D16" s="41">
        <f>TEXTJOIN(", ";TRUE,IF(Calendario!C17="","RESI",""), IF(Calendario!D17="","OSCAR",""), IF(Calendario!E17="","CLARA",""), IF(Calendario!F17="","ANNA",""), IF(Calendario!G17="","PEPE",""), IF(Calendario!H17="","IVAN",""), IF(Calendario!I17="","YERAY",""))</f>
        <v/>
      </c>
      <c r="E16" s="41">
        <f>TEXTJOIN(", ";TRUE,IF(Calendario!C17&lt;&gt;"","RESI("&amp;Calendario!C17&amp;")",""), IF(Calendario!D17&lt;&gt;"","OSCAR("&amp;Calendario!D17&amp;")",""), IF(Calendario!E17&lt;&gt;"","CLARA("&amp;Calendario!E17&amp;")",""), IF(Calendario!F17&lt;&gt;"","ANNA("&amp;Calendario!F17&amp;")",""), IF(Calendario!G17&lt;&gt;"","PEPE("&amp;Calendario!G17&amp;")",""), IF(Calendario!H17&lt;&gt;"","IVAN("&amp;Calendario!H17&amp;")",""), IF(Calendario!I17&lt;&gt;"","YERAY("&amp;Calendario!I17&amp;")",""))</f>
        <v/>
      </c>
    </row>
    <row r="17" ht="22" customHeight="1">
      <c r="A17" s="6" t="n">
        <v>16</v>
      </c>
      <c r="B17" s="33" t="n">
        <v>46219</v>
      </c>
      <c r="C17" s="6" t="inlineStr">
        <is>
          <t>Jue</t>
        </is>
      </c>
      <c r="D17" s="41">
        <f>TEXTJOIN(", ";TRUE,IF(Calendario!C18="","RESI",""), IF(Calendario!D18="","OSCAR",""), IF(Calendario!E18="","CLARA",""), IF(Calendario!F18="","ANNA",""), IF(Calendario!G18="","PEPE",""), IF(Calendario!H18="","IVAN",""), IF(Calendario!I18="","YERAY",""))</f>
        <v/>
      </c>
      <c r="E17" s="41">
        <f>TEXTJOIN(", ";TRUE,IF(Calendario!C18&lt;&gt;"","RESI("&amp;Calendario!C18&amp;")",""), IF(Calendario!D18&lt;&gt;"","OSCAR("&amp;Calendario!D18&amp;")",""), IF(Calendario!E18&lt;&gt;"","CLARA("&amp;Calendario!E18&amp;")",""), IF(Calendario!F18&lt;&gt;"","ANNA("&amp;Calendario!F18&amp;")",""), IF(Calendario!G18&lt;&gt;"","PEPE("&amp;Calendario!G18&amp;")",""), IF(Calendario!H18&lt;&gt;"","IVAN("&amp;Calendario!H18&amp;")",""), IF(Calendario!I18&lt;&gt;"","YERAY("&amp;Calendario!I18&amp;")",""))</f>
        <v/>
      </c>
    </row>
    <row r="18" ht="22" customHeight="1">
      <c r="A18" s="6" t="n">
        <v>17</v>
      </c>
      <c r="B18" s="33" t="n">
        <v>46220</v>
      </c>
      <c r="C18" s="6" t="inlineStr">
        <is>
          <t>Vie</t>
        </is>
      </c>
      <c r="D18" s="41">
        <f>TEXTJOIN(", ";TRUE,IF(Calendario!C19="","RESI",""), IF(Calendario!D19="","OSCAR",""), IF(Calendario!E19="","CLARA",""), IF(Calendario!F19="","ANNA",""), IF(Calendario!G19="","PEPE",""), IF(Calendario!H19="","IVAN",""), IF(Calendario!I19="","YERAY",""))</f>
        <v/>
      </c>
      <c r="E18" s="41">
        <f>TEXTJOIN(", ";TRUE,IF(Calendario!C19&lt;&gt;"","RESI("&amp;Calendario!C19&amp;")",""), IF(Calendario!D19&lt;&gt;"","OSCAR("&amp;Calendario!D19&amp;")",""), IF(Calendario!E19&lt;&gt;"","CLARA("&amp;Calendario!E19&amp;")",""), IF(Calendario!F19&lt;&gt;"","ANNA("&amp;Calendario!F19&amp;")",""), IF(Calendario!G19&lt;&gt;"","PEPE("&amp;Calendario!G19&amp;")",""), IF(Calendario!H19&lt;&gt;"","IVAN("&amp;Calendario!H19&amp;")",""), IF(Calendario!I19&lt;&gt;"","YERAY("&amp;Calendario!I19&amp;")",""))</f>
        <v/>
      </c>
    </row>
    <row r="19" ht="22" customHeight="1">
      <c r="A19" s="8" t="n">
        <v>18</v>
      </c>
      <c r="B19" s="7" t="n">
        <v>46221</v>
      </c>
      <c r="C19" s="8" t="inlineStr">
        <is>
          <t>Sab</t>
        </is>
      </c>
      <c r="D19" s="42">
        <f>TEXTJOIN(", ";TRUE,IF(Calendario!C20="","RESI",""), IF(Calendario!D20="","OSCAR",""), IF(Calendario!E20="","CLARA",""), IF(Calendario!F20="","ANNA",""), IF(Calendario!G20="","PEPE",""), IF(Calendario!H20="","IVAN",""), IF(Calendario!I20="","YERAY",""))</f>
        <v/>
      </c>
      <c r="E19" s="42">
        <f>TEXTJOIN(", ";TRUE,IF(Calendario!C20&lt;&gt;"","RESI("&amp;Calendario!C20&amp;")",""), IF(Calendario!D20&lt;&gt;"","OSCAR("&amp;Calendario!D20&amp;")",""), IF(Calendario!E20&lt;&gt;"","CLARA("&amp;Calendario!E20&amp;")",""), IF(Calendario!F20&lt;&gt;"","ANNA("&amp;Calendario!F20&amp;")",""), IF(Calendario!G20&lt;&gt;"","PEPE("&amp;Calendario!G20&amp;")",""), IF(Calendario!H20&lt;&gt;"","IVAN("&amp;Calendario!H20&amp;")",""), IF(Calendario!I20&lt;&gt;"","YERAY("&amp;Calendario!I20&amp;")",""))</f>
        <v/>
      </c>
    </row>
    <row r="20" ht="22" customHeight="1">
      <c r="A20" s="8" t="n">
        <v>19</v>
      </c>
      <c r="B20" s="7" t="n">
        <v>46222</v>
      </c>
      <c r="C20" s="8" t="inlineStr">
        <is>
          <t>Dom</t>
        </is>
      </c>
      <c r="D20" s="42">
        <f>TEXTJOIN(", ";TRUE,IF(Calendario!C21="","RESI",""), IF(Calendario!D21="","OSCAR",""), IF(Calendario!E21="","CLARA",""), IF(Calendario!F21="","ANNA",""), IF(Calendario!G21="","PEPE",""), IF(Calendario!H21="","IVAN",""), IF(Calendario!I21="","YERAY",""))</f>
        <v/>
      </c>
      <c r="E20" s="42">
        <f>TEXTJOIN(", ";TRUE,IF(Calendario!C21&lt;&gt;"","RESI("&amp;Calendario!C21&amp;")",""), IF(Calendario!D21&lt;&gt;"","OSCAR("&amp;Calendario!D21&amp;")",""), IF(Calendario!E21&lt;&gt;"","CLARA("&amp;Calendario!E21&amp;")",""), IF(Calendario!F21&lt;&gt;"","ANNA("&amp;Calendario!F21&amp;")",""), IF(Calendario!G21&lt;&gt;"","PEPE("&amp;Calendario!G21&amp;")",""), IF(Calendario!H21&lt;&gt;"","IVAN("&amp;Calendario!H21&amp;")",""), IF(Calendario!I21&lt;&gt;"","YERAY("&amp;Calendario!I21&amp;")",""))</f>
        <v/>
      </c>
    </row>
    <row r="21" ht="22" customHeight="1">
      <c r="A21" s="6" t="n">
        <v>20</v>
      </c>
      <c r="B21" s="33" t="n">
        <v>46223</v>
      </c>
      <c r="C21" s="6" t="inlineStr">
        <is>
          <t>Lun</t>
        </is>
      </c>
      <c r="D21" s="41">
        <f>TEXTJOIN(", ";TRUE,IF(Calendario!C22="","RESI",""), IF(Calendario!D22="","OSCAR",""), IF(Calendario!E22="","CLARA",""), IF(Calendario!F22="","ANNA",""), IF(Calendario!G22="","PEPE",""), IF(Calendario!H22="","IVAN",""), IF(Calendario!I22="","YERAY",""))</f>
        <v/>
      </c>
      <c r="E21" s="41">
        <f>TEXTJOIN(", ";TRUE,IF(Calendario!C22&lt;&gt;"","RESI("&amp;Calendario!C22&amp;")",""), IF(Calendario!D22&lt;&gt;"","OSCAR("&amp;Calendario!D22&amp;")",""), IF(Calendario!E22&lt;&gt;"","CLARA("&amp;Calendario!E22&amp;")",""), IF(Calendario!F22&lt;&gt;"","ANNA("&amp;Calendario!F22&amp;")",""), IF(Calendario!G22&lt;&gt;"","PEPE("&amp;Calendario!G22&amp;")",""), IF(Calendario!H22&lt;&gt;"","IVAN("&amp;Calendario!H22&amp;")",""), IF(Calendario!I22&lt;&gt;"","YERAY("&amp;Calendario!I22&amp;")",""))</f>
        <v/>
      </c>
    </row>
    <row r="22" ht="22" customHeight="1">
      <c r="A22" s="6" t="n">
        <v>21</v>
      </c>
      <c r="B22" s="33" t="n">
        <v>46224</v>
      </c>
      <c r="C22" s="6" t="inlineStr">
        <is>
          <t>Mar</t>
        </is>
      </c>
      <c r="D22" s="41">
        <f>TEXTJOIN(", ";TRUE,IF(Calendario!C23="","RESI",""), IF(Calendario!D23="","OSCAR",""), IF(Calendario!E23="","CLARA",""), IF(Calendario!F23="","ANNA",""), IF(Calendario!G23="","PEPE",""), IF(Calendario!H23="","IVAN",""), IF(Calendario!I23="","YERAY",""))</f>
        <v/>
      </c>
      <c r="E22" s="41">
        <f>TEXTJOIN(", ";TRUE,IF(Calendario!C23&lt;&gt;"","RESI("&amp;Calendario!C23&amp;")",""), IF(Calendario!D23&lt;&gt;"","OSCAR("&amp;Calendario!D23&amp;")",""), IF(Calendario!E23&lt;&gt;"","CLARA("&amp;Calendario!E23&amp;")",""), IF(Calendario!F23&lt;&gt;"","ANNA("&amp;Calendario!F23&amp;")",""), IF(Calendario!G23&lt;&gt;"","PEPE("&amp;Calendario!G23&amp;")",""), IF(Calendario!H23&lt;&gt;"","IVAN("&amp;Calendario!H23&amp;")",""), IF(Calendario!I23&lt;&gt;"","YERAY("&amp;Calendario!I23&amp;")",""))</f>
        <v/>
      </c>
    </row>
    <row r="23" ht="22" customHeight="1">
      <c r="A23" s="6" t="n">
        <v>22</v>
      </c>
      <c r="B23" s="33" t="n">
        <v>46225</v>
      </c>
      <c r="C23" s="6" t="inlineStr">
        <is>
          <t>Mie</t>
        </is>
      </c>
      <c r="D23" s="41">
        <f>TEXTJOIN(", ";TRUE,IF(Calendario!C24="","RESI",""), IF(Calendario!D24="","OSCAR",""), IF(Calendario!E24="","CLARA",""), IF(Calendario!F24="","ANNA",""), IF(Calendario!G24="","PEPE",""), IF(Calendario!H24="","IVAN",""), IF(Calendario!I24="","YERAY",""))</f>
        <v/>
      </c>
      <c r="E23" s="41">
        <f>TEXTJOIN(", ";TRUE,IF(Calendario!C24&lt;&gt;"","RESI("&amp;Calendario!C24&amp;")",""), IF(Calendario!D24&lt;&gt;"","OSCAR("&amp;Calendario!D24&amp;")",""), IF(Calendario!E24&lt;&gt;"","CLARA("&amp;Calendario!E24&amp;")",""), IF(Calendario!F24&lt;&gt;"","ANNA("&amp;Calendario!F24&amp;")",""), IF(Calendario!G24&lt;&gt;"","PEPE("&amp;Calendario!G24&amp;")",""), IF(Calendario!H24&lt;&gt;"","IVAN("&amp;Calendario!H24&amp;")",""), IF(Calendario!I24&lt;&gt;"","YERAY("&amp;Calendario!I24&amp;")",""))</f>
        <v/>
      </c>
    </row>
    <row r="24" ht="22" customHeight="1">
      <c r="A24" s="6" t="n">
        <v>23</v>
      </c>
      <c r="B24" s="33" t="n">
        <v>46226</v>
      </c>
      <c r="C24" s="6" t="inlineStr">
        <is>
          <t>Jue</t>
        </is>
      </c>
      <c r="D24" s="41">
        <f>TEXTJOIN(", ";TRUE,IF(Calendario!C25="","RESI",""), IF(Calendario!D25="","OSCAR",""), IF(Calendario!E25="","CLARA",""), IF(Calendario!F25="","ANNA",""), IF(Calendario!G25="","PEPE",""), IF(Calendario!H25="","IVAN",""), IF(Calendario!I25="","YERAY",""))</f>
        <v/>
      </c>
      <c r="E24" s="41">
        <f>TEXTJOIN(", ";TRUE,IF(Calendario!C25&lt;&gt;"","RESI("&amp;Calendario!C25&amp;")",""), IF(Calendario!D25&lt;&gt;"","OSCAR("&amp;Calendario!D25&amp;")",""), IF(Calendario!E25&lt;&gt;"","CLARA("&amp;Calendario!E25&amp;")",""), IF(Calendario!F25&lt;&gt;"","ANNA("&amp;Calendario!F25&amp;")",""), IF(Calendario!G25&lt;&gt;"","PEPE("&amp;Calendario!G25&amp;")",""), IF(Calendario!H25&lt;&gt;"","IVAN("&amp;Calendario!H25&amp;")",""), IF(Calendario!I25&lt;&gt;"","YERAY("&amp;Calendario!I25&amp;")",""))</f>
        <v/>
      </c>
    </row>
    <row r="25" ht="22" customHeight="1">
      <c r="A25" s="6" t="n">
        <v>24</v>
      </c>
      <c r="B25" s="33" t="n">
        <v>46227</v>
      </c>
      <c r="C25" s="6" t="inlineStr">
        <is>
          <t>Vie</t>
        </is>
      </c>
      <c r="D25" s="41">
        <f>TEXTJOIN(", ";TRUE,IF(Calendario!C26="","RESI",""), IF(Calendario!D26="","OSCAR",""), IF(Calendario!E26="","CLARA",""), IF(Calendario!F26="","ANNA",""), IF(Calendario!G26="","PEPE",""), IF(Calendario!H26="","IVAN",""), IF(Calendario!I26="","YERAY",""))</f>
        <v/>
      </c>
      <c r="E25" s="41">
        <f>TEXTJOIN(", ";TRUE,IF(Calendario!C26&lt;&gt;"","RESI("&amp;Calendario!C26&amp;")",""), IF(Calendario!D26&lt;&gt;"","OSCAR("&amp;Calendario!D26&amp;")",""), IF(Calendario!E26&lt;&gt;"","CLARA("&amp;Calendario!E26&amp;")",""), IF(Calendario!F26&lt;&gt;"","ANNA("&amp;Calendario!F26&amp;")",""), IF(Calendario!G26&lt;&gt;"","PEPE("&amp;Calendario!G26&amp;")",""), IF(Calendario!H26&lt;&gt;"","IVAN("&amp;Calendario!H26&amp;")",""), IF(Calendario!I26&lt;&gt;"","YERAY("&amp;Calendario!I26&amp;")",""))</f>
        <v/>
      </c>
    </row>
    <row r="26" ht="22" customHeight="1">
      <c r="A26" s="8" t="n">
        <v>25</v>
      </c>
      <c r="B26" s="7" t="n">
        <v>46228</v>
      </c>
      <c r="C26" s="8" t="inlineStr">
        <is>
          <t>Sab</t>
        </is>
      </c>
      <c r="D26" s="42">
        <f>TEXTJOIN(", ";TRUE,IF(Calendario!C27="","RESI",""), IF(Calendario!D27="","OSCAR",""), IF(Calendario!E27="","CLARA",""), IF(Calendario!F27="","ANNA",""), IF(Calendario!G27="","PEPE",""), IF(Calendario!H27="","IVAN",""), IF(Calendario!I27="","YERAY",""))</f>
        <v/>
      </c>
      <c r="E26" s="42">
        <f>TEXTJOIN(", ";TRUE,IF(Calendario!C27&lt;&gt;"","RESI("&amp;Calendario!C27&amp;")",""), IF(Calendario!D27&lt;&gt;"","OSCAR("&amp;Calendario!D27&amp;")",""), IF(Calendario!E27&lt;&gt;"","CLARA("&amp;Calendario!E27&amp;")",""), IF(Calendario!F27&lt;&gt;"","ANNA("&amp;Calendario!F27&amp;")",""), IF(Calendario!G27&lt;&gt;"","PEPE("&amp;Calendario!G27&amp;")",""), IF(Calendario!H27&lt;&gt;"","IVAN("&amp;Calendario!H27&amp;")",""), IF(Calendario!I27&lt;&gt;"","YERAY("&amp;Calendario!I27&amp;")",""))</f>
        <v/>
      </c>
    </row>
    <row r="27" ht="22" customHeight="1">
      <c r="A27" s="8" t="n">
        <v>26</v>
      </c>
      <c r="B27" s="7" t="n">
        <v>46229</v>
      </c>
      <c r="C27" s="8" t="inlineStr">
        <is>
          <t>Dom</t>
        </is>
      </c>
      <c r="D27" s="42">
        <f>TEXTJOIN(", ";TRUE,IF(Calendario!C28="","RESI",""), IF(Calendario!D28="","OSCAR",""), IF(Calendario!E28="","CLARA",""), IF(Calendario!F28="","ANNA",""), IF(Calendario!G28="","PEPE",""), IF(Calendario!H28="","IVAN",""), IF(Calendario!I28="","YERAY",""))</f>
        <v/>
      </c>
      <c r="E27" s="42">
        <f>TEXTJOIN(", ";TRUE,IF(Calendario!C28&lt;&gt;"","RESI("&amp;Calendario!C28&amp;")",""), IF(Calendario!D28&lt;&gt;"","OSCAR("&amp;Calendario!D28&amp;")",""), IF(Calendario!E28&lt;&gt;"","CLARA("&amp;Calendario!E28&amp;")",""), IF(Calendario!F28&lt;&gt;"","ANNA("&amp;Calendario!F28&amp;")",""), IF(Calendario!G28&lt;&gt;"","PEPE("&amp;Calendario!G28&amp;")",""), IF(Calendario!H28&lt;&gt;"","IVAN("&amp;Calendario!H28&amp;")",""), IF(Calendario!I28&lt;&gt;"","YERAY("&amp;Calendario!I28&amp;")",""))</f>
        <v/>
      </c>
    </row>
    <row r="28" ht="22" customHeight="1">
      <c r="A28" s="6" t="n">
        <v>27</v>
      </c>
      <c r="B28" s="33" t="n">
        <v>46230</v>
      </c>
      <c r="C28" s="6" t="inlineStr">
        <is>
          <t>Lun</t>
        </is>
      </c>
      <c r="D28" s="41">
        <f>TEXTJOIN(", ";TRUE,IF(Calendario!C29="","RESI",""), IF(Calendario!D29="","OSCAR",""), IF(Calendario!E29="","CLARA",""), IF(Calendario!F29="","ANNA",""), IF(Calendario!G29="","PEPE",""), IF(Calendario!H29="","IVAN",""), IF(Calendario!I29="","YERAY",""))</f>
        <v/>
      </c>
      <c r="E28" s="41">
        <f>TEXTJOIN(", ";TRUE,IF(Calendario!C29&lt;&gt;"","RESI("&amp;Calendario!C29&amp;")",""), IF(Calendario!D29&lt;&gt;"","OSCAR("&amp;Calendario!D29&amp;")",""), IF(Calendario!E29&lt;&gt;"","CLARA("&amp;Calendario!E29&amp;")",""), IF(Calendario!F29&lt;&gt;"","ANNA("&amp;Calendario!F29&amp;")",""), IF(Calendario!G29&lt;&gt;"","PEPE("&amp;Calendario!G29&amp;")",""), IF(Calendario!H29&lt;&gt;"","IVAN("&amp;Calendario!H29&amp;")",""), IF(Calendario!I29&lt;&gt;"","YERAY("&amp;Calendario!I29&amp;")",""))</f>
        <v/>
      </c>
    </row>
    <row r="29" ht="22" customHeight="1">
      <c r="A29" s="6" t="n">
        <v>28</v>
      </c>
      <c r="B29" s="33" t="n">
        <v>46231</v>
      </c>
      <c r="C29" s="6" t="inlineStr">
        <is>
          <t>Mar</t>
        </is>
      </c>
      <c r="D29" s="41">
        <f>TEXTJOIN(", ";TRUE,IF(Calendario!C30="","RESI",""), IF(Calendario!D30="","OSCAR",""), IF(Calendario!E30="","CLARA",""), IF(Calendario!F30="","ANNA",""), IF(Calendario!G30="","PEPE",""), IF(Calendario!H30="","IVAN",""), IF(Calendario!I30="","YERAY",""))</f>
        <v/>
      </c>
      <c r="E29" s="41">
        <f>TEXTJOIN(", ";TRUE,IF(Calendario!C30&lt;&gt;"","RESI("&amp;Calendario!C30&amp;")",""), IF(Calendario!D30&lt;&gt;"","OSCAR("&amp;Calendario!D30&amp;")",""), IF(Calendario!E30&lt;&gt;"","CLARA("&amp;Calendario!E30&amp;")",""), IF(Calendario!F30&lt;&gt;"","ANNA("&amp;Calendario!F30&amp;")",""), IF(Calendario!G30&lt;&gt;"","PEPE("&amp;Calendario!G30&amp;")",""), IF(Calendario!H30&lt;&gt;"","IVAN("&amp;Calendario!H30&amp;")",""), IF(Calendario!I30&lt;&gt;"","YERAY("&amp;Calendario!I30&amp;")",""))</f>
        <v/>
      </c>
    </row>
    <row r="30" ht="22" customHeight="1">
      <c r="A30" s="6" t="n">
        <v>29</v>
      </c>
      <c r="B30" s="33" t="n">
        <v>46232</v>
      </c>
      <c r="C30" s="6" t="inlineStr">
        <is>
          <t>Mie</t>
        </is>
      </c>
      <c r="D30" s="41">
        <f>TEXTJOIN(", ";TRUE,IF(Calendario!C31="","RESI",""), IF(Calendario!D31="","OSCAR",""), IF(Calendario!E31="","CLARA",""), IF(Calendario!F31="","ANNA",""), IF(Calendario!G31="","PEPE",""), IF(Calendario!H31="","IVAN",""), IF(Calendario!I31="","YERAY",""))</f>
        <v/>
      </c>
      <c r="E30" s="41">
        <f>TEXTJOIN(", ";TRUE,IF(Calendario!C31&lt;&gt;"","RESI("&amp;Calendario!C31&amp;")",""), IF(Calendario!D31&lt;&gt;"","OSCAR("&amp;Calendario!D31&amp;")",""), IF(Calendario!E31&lt;&gt;"","CLARA("&amp;Calendario!E31&amp;")",""), IF(Calendario!F31&lt;&gt;"","ANNA("&amp;Calendario!F31&amp;")",""), IF(Calendario!G31&lt;&gt;"","PEPE("&amp;Calendario!G31&amp;")",""), IF(Calendario!H31&lt;&gt;"","IVAN("&amp;Calendario!H31&amp;")",""), IF(Calendario!I31&lt;&gt;"","YERAY("&amp;Calendario!I31&amp;")",""))</f>
        <v/>
      </c>
    </row>
    <row r="31" ht="22" customHeight="1">
      <c r="A31" s="6" t="n">
        <v>30</v>
      </c>
      <c r="B31" s="33" t="n">
        <v>46233</v>
      </c>
      <c r="C31" s="6" t="inlineStr">
        <is>
          <t>Jue</t>
        </is>
      </c>
      <c r="D31" s="41">
        <f>TEXTJOIN(", ";TRUE,IF(Calendario!C32="","RESI",""), IF(Calendario!D32="","OSCAR",""), IF(Calendario!E32="","CLARA",""), IF(Calendario!F32="","ANNA",""), IF(Calendario!G32="","PEPE",""), IF(Calendario!H32="","IVAN",""), IF(Calendario!I32="","YERAY",""))</f>
        <v/>
      </c>
      <c r="E31" s="41">
        <f>TEXTJOIN(", ";TRUE,IF(Calendario!C32&lt;&gt;"","RESI("&amp;Calendario!C32&amp;")",""), IF(Calendario!D32&lt;&gt;"","OSCAR("&amp;Calendario!D32&amp;")",""), IF(Calendario!E32&lt;&gt;"","CLARA("&amp;Calendario!E32&amp;")",""), IF(Calendario!F32&lt;&gt;"","ANNA("&amp;Calendario!F32&amp;")",""), IF(Calendario!G32&lt;&gt;"","PEPE("&amp;Calendario!G32&amp;")",""), IF(Calendario!H32&lt;&gt;"","IVAN("&amp;Calendario!H32&amp;")",""), IF(Calendario!I32&lt;&gt;"","YERAY("&amp;Calendario!I32&amp;")",""))</f>
        <v/>
      </c>
    </row>
    <row r="32" ht="22" customHeight="1">
      <c r="A32" s="6" t="n">
        <v>31</v>
      </c>
      <c r="B32" s="33" t="n">
        <v>46234</v>
      </c>
      <c r="C32" s="6" t="inlineStr">
        <is>
          <t>Vie</t>
        </is>
      </c>
      <c r="D32" s="41">
        <f>TEXTJOIN(", ";TRUE,IF(Calendario!C33="","RESI",""), IF(Calendario!D33="","OSCAR",""), IF(Calendario!E33="","CLARA",""), IF(Calendario!F33="","ANNA",""), IF(Calendario!G33="","PEPE",""), IF(Calendario!H33="","IVAN",""), IF(Calendario!I33="","YERAY",""))</f>
        <v/>
      </c>
      <c r="E32" s="41">
        <f>TEXTJOIN(", ";TRUE,IF(Calendario!C33&lt;&gt;"","RESI("&amp;Calendario!C33&amp;")",""), IF(Calendario!D33&lt;&gt;"","OSCAR("&amp;Calendario!D33&amp;")",""), IF(Calendario!E33&lt;&gt;"","CLARA("&amp;Calendario!E33&amp;")",""), IF(Calendario!F33&lt;&gt;"","ANNA("&amp;Calendario!F33&amp;")",""), IF(Calendario!G33&lt;&gt;"","PEPE("&amp;Calendario!G33&amp;")",""), IF(Calendario!H33&lt;&gt;"","IVAN("&amp;Calendario!H33&amp;")",""), IF(Calendario!I33&lt;&gt;"","YERAY("&amp;Calendario!I33&amp;")",""))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3" t="inlineStr">
        <is>
          <t xml:space="preserve">  AGOSTO 2026  —  Quien puede cada dia</t>
        </is>
      </c>
      <c r="B1" s="15" t="n"/>
      <c r="C1" s="15" t="n"/>
      <c r="D1" s="15" t="n"/>
      <c r="E1" s="16" t="n"/>
    </row>
    <row r="2" ht="22" customHeight="1">
      <c r="A2" s="8" t="n">
        <v>1</v>
      </c>
      <c r="B2" s="7" t="n">
        <v>46235</v>
      </c>
      <c r="C2" s="8" t="inlineStr">
        <is>
          <t>Sab</t>
        </is>
      </c>
      <c r="D2" s="42">
        <f>TEXTJOIN(", ";TRUE,IF(Calendario!C35="","RESI",""), IF(Calendario!D35="","OSCAR",""), IF(Calendario!E35="","CLARA",""), IF(Calendario!F35="","ANNA",""), IF(Calendario!G35="","PEPE",""), IF(Calendario!H35="","IVAN",""), IF(Calendario!I35="","YERAY",""))</f>
        <v/>
      </c>
      <c r="E2" s="42">
        <f>TEXTJOIN(", ";TRUE,IF(Calendario!C35&lt;&gt;"","RESI("&amp;Calendario!C35&amp;")",""), IF(Calendario!D35&lt;&gt;"","OSCAR("&amp;Calendario!D35&amp;")",""), IF(Calendario!E35&lt;&gt;"","CLARA("&amp;Calendario!E35&amp;")",""), IF(Calendario!F35&lt;&gt;"","ANNA("&amp;Calendario!F35&amp;")",""), IF(Calendario!G35&lt;&gt;"","PEPE("&amp;Calendario!G35&amp;")",""), IF(Calendario!H35&lt;&gt;"","IVAN("&amp;Calendario!H35&amp;")",""), IF(Calendario!I35&lt;&gt;"","YERAY("&amp;Calendario!I35&amp;")",""))</f>
        <v/>
      </c>
    </row>
    <row r="3" ht="22" customHeight="1">
      <c r="A3" s="8" t="n">
        <v>2</v>
      </c>
      <c r="B3" s="7" t="n">
        <v>46236</v>
      </c>
      <c r="C3" s="8" t="inlineStr">
        <is>
          <t>Dom</t>
        </is>
      </c>
      <c r="D3" s="42">
        <f>TEXTJOIN(", ";TRUE,IF(Calendario!C36="","RESI",""), IF(Calendario!D36="","OSCAR",""), IF(Calendario!E36="","CLARA",""), IF(Calendario!F36="","ANNA",""), IF(Calendario!G36="","PEPE",""), IF(Calendario!H36="","IVAN",""), IF(Calendario!I36="","YERAY",""))</f>
        <v/>
      </c>
      <c r="E3" s="42">
        <f>TEXTJOIN(", ";TRUE,IF(Calendario!C36&lt;&gt;"","RESI("&amp;Calendario!C36&amp;")",""), IF(Calendario!D36&lt;&gt;"","OSCAR("&amp;Calendario!D36&amp;")",""), IF(Calendario!E36&lt;&gt;"","CLARA("&amp;Calendario!E36&amp;")",""), IF(Calendario!F36&lt;&gt;"","ANNA("&amp;Calendario!F36&amp;")",""), IF(Calendario!G36&lt;&gt;"","PEPE("&amp;Calendario!G36&amp;")",""), IF(Calendario!H36&lt;&gt;"","IVAN("&amp;Calendario!H36&amp;")",""), IF(Calendario!I36&lt;&gt;"","YERAY("&amp;Calendario!I36&amp;")",""))</f>
        <v/>
      </c>
    </row>
    <row r="4" ht="22" customHeight="1">
      <c r="A4" s="6" t="n">
        <v>3</v>
      </c>
      <c r="B4" s="33" t="n">
        <v>46237</v>
      </c>
      <c r="C4" s="6" t="inlineStr">
        <is>
          <t>Lun</t>
        </is>
      </c>
      <c r="D4" s="41">
        <f>TEXTJOIN(", ";TRUE,IF(Calendario!C37="","RESI",""), IF(Calendario!D37="","OSCAR",""), IF(Calendario!E37="","CLARA",""), IF(Calendario!F37="","ANNA",""), IF(Calendario!G37="","PEPE",""), IF(Calendario!H37="","IVAN",""), IF(Calendario!I37="","YERAY",""))</f>
        <v/>
      </c>
      <c r="E4" s="41">
        <f>TEXTJOIN(", ";TRUE,IF(Calendario!C37&lt;&gt;"","RESI("&amp;Calendario!C37&amp;")",""), IF(Calendario!D37&lt;&gt;"","OSCAR("&amp;Calendario!D37&amp;")",""), IF(Calendario!E37&lt;&gt;"","CLARA("&amp;Calendario!E37&amp;")",""), IF(Calendario!F37&lt;&gt;"","ANNA("&amp;Calendario!F37&amp;")",""), IF(Calendario!G37&lt;&gt;"","PEPE("&amp;Calendario!G37&amp;")",""), IF(Calendario!H37&lt;&gt;"","IVAN("&amp;Calendario!H37&amp;")",""), IF(Calendario!I37&lt;&gt;"","YERAY("&amp;Calendario!I37&amp;")",""))</f>
        <v/>
      </c>
    </row>
    <row r="5" ht="22" customHeight="1">
      <c r="A5" s="6" t="n">
        <v>4</v>
      </c>
      <c r="B5" s="33" t="n">
        <v>46238</v>
      </c>
      <c r="C5" s="6" t="inlineStr">
        <is>
          <t>Mar</t>
        </is>
      </c>
      <c r="D5" s="41">
        <f>TEXTJOIN(", ";TRUE,IF(Calendario!C38="","RESI",""), IF(Calendario!D38="","OSCAR",""), IF(Calendario!E38="","CLARA",""), IF(Calendario!F38="","ANNA",""), IF(Calendario!G38="","PEPE",""), IF(Calendario!H38="","IVAN",""), IF(Calendario!I38="","YERAY",""))</f>
        <v/>
      </c>
      <c r="E5" s="41">
        <f>TEXTJOIN(", ";TRUE,IF(Calendario!C38&lt;&gt;"","RESI("&amp;Calendario!C38&amp;")",""), IF(Calendario!D38&lt;&gt;"","OSCAR("&amp;Calendario!D38&amp;")",""), IF(Calendario!E38&lt;&gt;"","CLARA("&amp;Calendario!E38&amp;")",""), IF(Calendario!F38&lt;&gt;"","ANNA("&amp;Calendario!F38&amp;")",""), IF(Calendario!G38&lt;&gt;"","PEPE("&amp;Calendario!G38&amp;")",""), IF(Calendario!H38&lt;&gt;"","IVAN("&amp;Calendario!H38&amp;")",""), IF(Calendario!I38&lt;&gt;"","YERAY("&amp;Calendario!I38&amp;")",""))</f>
        <v/>
      </c>
    </row>
    <row r="6" ht="22" customHeight="1">
      <c r="A6" s="6" t="n">
        <v>5</v>
      </c>
      <c r="B6" s="33" t="n">
        <v>46239</v>
      </c>
      <c r="C6" s="6" t="inlineStr">
        <is>
          <t>Mie</t>
        </is>
      </c>
      <c r="D6" s="41">
        <f>TEXTJOIN(", ";TRUE,IF(Calendario!C39="","RESI",""), IF(Calendario!D39="","OSCAR",""), IF(Calendario!E39="","CLARA",""), IF(Calendario!F39="","ANNA",""), IF(Calendario!G39="","PEPE",""), IF(Calendario!H39="","IVAN",""), IF(Calendario!I39="","YERAY",""))</f>
        <v/>
      </c>
      <c r="E6" s="41">
        <f>TEXTJOIN(", ";TRUE,IF(Calendario!C39&lt;&gt;"","RESI("&amp;Calendario!C39&amp;")",""), IF(Calendario!D39&lt;&gt;"","OSCAR("&amp;Calendario!D39&amp;")",""), IF(Calendario!E39&lt;&gt;"","CLARA("&amp;Calendario!E39&amp;")",""), IF(Calendario!F39&lt;&gt;"","ANNA("&amp;Calendario!F39&amp;")",""), IF(Calendario!G39&lt;&gt;"","PEPE("&amp;Calendario!G39&amp;")",""), IF(Calendario!H39&lt;&gt;"","IVAN("&amp;Calendario!H39&amp;")",""), IF(Calendario!I39&lt;&gt;"","YERAY("&amp;Calendario!I39&amp;")",""))</f>
        <v/>
      </c>
    </row>
    <row r="7" ht="22" customHeight="1">
      <c r="A7" s="6" t="n">
        <v>6</v>
      </c>
      <c r="B7" s="33" t="n">
        <v>46240</v>
      </c>
      <c r="C7" s="6" t="inlineStr">
        <is>
          <t>Jue</t>
        </is>
      </c>
      <c r="D7" s="41">
        <f>TEXTJOIN(", ";TRUE,IF(Calendario!C40="","RESI",""), IF(Calendario!D40="","OSCAR",""), IF(Calendario!E40="","CLARA",""), IF(Calendario!F40="","ANNA",""), IF(Calendario!G40="","PEPE",""), IF(Calendario!H40="","IVAN",""), IF(Calendario!I40="","YERAY",""))</f>
        <v/>
      </c>
      <c r="E7" s="41">
        <f>TEXTJOIN(", ";TRUE,IF(Calendario!C40&lt;&gt;"","RESI("&amp;Calendario!C40&amp;")",""), IF(Calendario!D40&lt;&gt;"","OSCAR("&amp;Calendario!D40&amp;")",""), IF(Calendario!E40&lt;&gt;"","CLARA("&amp;Calendario!E40&amp;")",""), IF(Calendario!F40&lt;&gt;"","ANNA("&amp;Calendario!F40&amp;")",""), IF(Calendario!G40&lt;&gt;"","PEPE("&amp;Calendario!G40&amp;")",""), IF(Calendario!H40&lt;&gt;"","IVAN("&amp;Calendario!H40&amp;")",""), IF(Calendario!I40&lt;&gt;"","YERAY("&amp;Calendario!I40&amp;")",""))</f>
        <v/>
      </c>
    </row>
    <row r="8" ht="22" customHeight="1">
      <c r="A8" s="6" t="n">
        <v>7</v>
      </c>
      <c r="B8" s="33" t="n">
        <v>46241</v>
      </c>
      <c r="C8" s="6" t="inlineStr">
        <is>
          <t>Vie</t>
        </is>
      </c>
      <c r="D8" s="41">
        <f>TEXTJOIN(", ";TRUE,IF(Calendario!C41="","RESI",""), IF(Calendario!D41="","OSCAR",""), IF(Calendario!E41="","CLARA",""), IF(Calendario!F41="","ANNA",""), IF(Calendario!G41="","PEPE",""), IF(Calendario!H41="","IVAN",""), IF(Calendario!I41="","YERAY",""))</f>
        <v/>
      </c>
      <c r="E8" s="41">
        <f>TEXTJOIN(", ";TRUE,IF(Calendario!C41&lt;&gt;"","RESI("&amp;Calendario!C41&amp;")",""), IF(Calendario!D41&lt;&gt;"","OSCAR("&amp;Calendario!D41&amp;")",""), IF(Calendario!E41&lt;&gt;"","CLARA("&amp;Calendario!E41&amp;")",""), IF(Calendario!F41&lt;&gt;"","ANNA("&amp;Calendario!F41&amp;")",""), IF(Calendario!G41&lt;&gt;"","PEPE("&amp;Calendario!G41&amp;")",""), IF(Calendario!H41&lt;&gt;"","IVAN("&amp;Calendario!H41&amp;")",""), IF(Calendario!I41&lt;&gt;"","YERAY("&amp;Calendario!I41&amp;")",""))</f>
        <v/>
      </c>
    </row>
    <row r="9" ht="22" customHeight="1">
      <c r="A9" s="8" t="n">
        <v>8</v>
      </c>
      <c r="B9" s="7" t="n">
        <v>46242</v>
      </c>
      <c r="C9" s="8" t="inlineStr">
        <is>
          <t>Sab</t>
        </is>
      </c>
      <c r="D9" s="42">
        <f>TEXTJOIN(", ";TRUE,IF(Calendario!C42="","RESI",""), IF(Calendario!D42="","OSCAR",""), IF(Calendario!E42="","CLARA",""), IF(Calendario!F42="","ANNA",""), IF(Calendario!G42="","PEPE",""), IF(Calendario!H42="","IVAN",""), IF(Calendario!I42="","YERAY",""))</f>
        <v/>
      </c>
      <c r="E9" s="42">
        <f>TEXTJOIN(", ";TRUE,IF(Calendario!C42&lt;&gt;"","RESI("&amp;Calendario!C42&amp;")",""), IF(Calendario!D42&lt;&gt;"","OSCAR("&amp;Calendario!D42&amp;")",""), IF(Calendario!E42&lt;&gt;"","CLARA("&amp;Calendario!E42&amp;")",""), IF(Calendario!F42&lt;&gt;"","ANNA("&amp;Calendario!F42&amp;")",""), IF(Calendario!G42&lt;&gt;"","PEPE("&amp;Calendario!G42&amp;")",""), IF(Calendario!H42&lt;&gt;"","IVAN("&amp;Calendario!H42&amp;")",""), IF(Calendario!I42&lt;&gt;"","YERAY("&amp;Calendario!I42&amp;")",""))</f>
        <v/>
      </c>
    </row>
    <row r="10" ht="22" customHeight="1">
      <c r="A10" s="8" t="n">
        <v>9</v>
      </c>
      <c r="B10" s="7" t="n">
        <v>46243</v>
      </c>
      <c r="C10" s="8" t="inlineStr">
        <is>
          <t>Dom</t>
        </is>
      </c>
      <c r="D10" s="42">
        <f>TEXTJOIN(", ";TRUE,IF(Calendario!C43="","RESI",""), IF(Calendario!D43="","OSCAR",""), IF(Calendario!E43="","CLARA",""), IF(Calendario!F43="","ANNA",""), IF(Calendario!G43="","PEPE",""), IF(Calendario!H43="","IVAN",""), IF(Calendario!I43="","YERAY",""))</f>
        <v/>
      </c>
      <c r="E10" s="42">
        <f>TEXTJOIN(", ";TRUE,IF(Calendario!C43&lt;&gt;"","RESI("&amp;Calendario!C43&amp;")",""), IF(Calendario!D43&lt;&gt;"","OSCAR("&amp;Calendario!D43&amp;")",""), IF(Calendario!E43&lt;&gt;"","CLARA("&amp;Calendario!E43&amp;")",""), IF(Calendario!F43&lt;&gt;"","ANNA("&amp;Calendario!F43&amp;")",""), IF(Calendario!G43&lt;&gt;"","PEPE("&amp;Calendario!G43&amp;")",""), IF(Calendario!H43&lt;&gt;"","IVAN("&amp;Calendario!H43&amp;")",""), IF(Calendario!I43&lt;&gt;"","YERAY("&amp;Calendario!I43&amp;")",""))</f>
        <v/>
      </c>
    </row>
    <row r="11" ht="22" customHeight="1">
      <c r="A11" s="6" t="n">
        <v>10</v>
      </c>
      <c r="B11" s="33" t="n">
        <v>46244</v>
      </c>
      <c r="C11" s="6" t="inlineStr">
        <is>
          <t>Lun</t>
        </is>
      </c>
      <c r="D11" s="41">
        <f>TEXTJOIN(", ";TRUE,IF(Calendario!C44="","RESI",""), IF(Calendario!D44="","OSCAR",""), IF(Calendario!E44="","CLARA",""), IF(Calendario!F44="","ANNA",""), IF(Calendario!G44="","PEPE",""), IF(Calendario!H44="","IVAN",""), IF(Calendario!I44="","YERAY",""))</f>
        <v/>
      </c>
      <c r="E11" s="41">
        <f>TEXTJOIN(", ";TRUE,IF(Calendario!C44&lt;&gt;"","RESI("&amp;Calendario!C44&amp;")",""), IF(Calendario!D44&lt;&gt;"","OSCAR("&amp;Calendario!D44&amp;")",""), IF(Calendario!E44&lt;&gt;"","CLARA("&amp;Calendario!E44&amp;")",""), IF(Calendario!F44&lt;&gt;"","ANNA("&amp;Calendario!F44&amp;")",""), IF(Calendario!G44&lt;&gt;"","PEPE("&amp;Calendario!G44&amp;")",""), IF(Calendario!H44&lt;&gt;"","IVAN("&amp;Calendario!H44&amp;")",""), IF(Calendario!I44&lt;&gt;"","YERAY("&amp;Calendario!I44&amp;")",""))</f>
        <v/>
      </c>
    </row>
    <row r="12" ht="22" customHeight="1">
      <c r="A12" s="6" t="n">
        <v>11</v>
      </c>
      <c r="B12" s="33" t="n">
        <v>46245</v>
      </c>
      <c r="C12" s="6" t="inlineStr">
        <is>
          <t>Mar</t>
        </is>
      </c>
      <c r="D12" s="41">
        <f>TEXTJOIN(", ";TRUE,IF(Calendario!C45="","RESI",""), IF(Calendario!D45="","OSCAR",""), IF(Calendario!E45="","CLARA",""), IF(Calendario!F45="","ANNA",""), IF(Calendario!G45="","PEPE",""), IF(Calendario!H45="","IVAN",""), IF(Calendario!I45="","YERAY",""))</f>
        <v/>
      </c>
      <c r="E12" s="41">
        <f>TEXTJOIN(", ";TRUE,IF(Calendario!C45&lt;&gt;"","RESI("&amp;Calendario!C45&amp;")",""), IF(Calendario!D45&lt;&gt;"","OSCAR("&amp;Calendario!D45&amp;")",""), IF(Calendario!E45&lt;&gt;"","CLARA("&amp;Calendario!E45&amp;")",""), IF(Calendario!F45&lt;&gt;"","ANNA("&amp;Calendario!F45&amp;")",""), IF(Calendario!G45&lt;&gt;"","PEPE("&amp;Calendario!G45&amp;")",""), IF(Calendario!H45&lt;&gt;"","IVAN("&amp;Calendario!H45&amp;")",""), IF(Calendario!I45&lt;&gt;"","YERAY("&amp;Calendario!I45&amp;")",""))</f>
        <v/>
      </c>
    </row>
    <row r="13" ht="22" customHeight="1">
      <c r="A13" s="6" t="n">
        <v>12</v>
      </c>
      <c r="B13" s="33" t="n">
        <v>46246</v>
      </c>
      <c r="C13" s="6" t="inlineStr">
        <is>
          <t>Mie</t>
        </is>
      </c>
      <c r="D13" s="41">
        <f>TEXTJOIN(", ";TRUE,IF(Calendario!C46="","RESI",""), IF(Calendario!D46="","OSCAR",""), IF(Calendario!E46="","CLARA",""), IF(Calendario!F46="","ANNA",""), IF(Calendario!G46="","PEPE",""), IF(Calendario!H46="","IVAN",""), IF(Calendario!I46="","YERAY",""))</f>
        <v/>
      </c>
      <c r="E13" s="41">
        <f>TEXTJOIN(", ";TRUE,IF(Calendario!C46&lt;&gt;"","RESI("&amp;Calendario!C46&amp;")",""), IF(Calendario!D46&lt;&gt;"","OSCAR("&amp;Calendario!D46&amp;")",""), IF(Calendario!E46&lt;&gt;"","CLARA("&amp;Calendario!E46&amp;")",""), IF(Calendario!F46&lt;&gt;"","ANNA("&amp;Calendario!F46&amp;")",""), IF(Calendario!G46&lt;&gt;"","PEPE("&amp;Calendario!G46&amp;")",""), IF(Calendario!H46&lt;&gt;"","IVAN("&amp;Calendario!H46&amp;")",""), IF(Calendario!I46&lt;&gt;"","YERAY("&amp;Calendario!I46&amp;")",""))</f>
        <v/>
      </c>
    </row>
    <row r="14" ht="22" customHeight="1">
      <c r="A14" s="6" t="n">
        <v>13</v>
      </c>
      <c r="B14" s="33" t="n">
        <v>46247</v>
      </c>
      <c r="C14" s="6" t="inlineStr">
        <is>
          <t>Jue</t>
        </is>
      </c>
      <c r="D14" s="41">
        <f>TEXTJOIN(", ";TRUE,IF(Calendario!C47="","RESI",""), IF(Calendario!D47="","OSCAR",""), IF(Calendario!E47="","CLARA",""), IF(Calendario!F47="","ANNA",""), IF(Calendario!G47="","PEPE",""), IF(Calendario!H47="","IVAN",""), IF(Calendario!I47="","YERAY",""))</f>
        <v/>
      </c>
      <c r="E14" s="41">
        <f>TEXTJOIN(", ";TRUE,IF(Calendario!C47&lt;&gt;"","RESI("&amp;Calendario!C47&amp;")",""), IF(Calendario!D47&lt;&gt;"","OSCAR("&amp;Calendario!D47&amp;")",""), IF(Calendario!E47&lt;&gt;"","CLARA("&amp;Calendario!E47&amp;")",""), IF(Calendario!F47&lt;&gt;"","ANNA("&amp;Calendario!F47&amp;")",""), IF(Calendario!G47&lt;&gt;"","PEPE("&amp;Calendario!G47&amp;")",""), IF(Calendario!H47&lt;&gt;"","IVAN("&amp;Calendario!H47&amp;")",""), IF(Calendario!I47&lt;&gt;"","YERAY("&amp;Calendario!I47&amp;")",""))</f>
        <v/>
      </c>
    </row>
    <row r="15" ht="22" customHeight="1">
      <c r="A15" s="6" t="n">
        <v>14</v>
      </c>
      <c r="B15" s="33" t="n">
        <v>46248</v>
      </c>
      <c r="C15" s="6" t="inlineStr">
        <is>
          <t>Vie</t>
        </is>
      </c>
      <c r="D15" s="41">
        <f>TEXTJOIN(", ";TRUE,IF(Calendario!C48="","RESI",""), IF(Calendario!D48="","OSCAR",""), IF(Calendario!E48="","CLARA",""), IF(Calendario!F48="","ANNA",""), IF(Calendario!G48="","PEPE",""), IF(Calendario!H48="","IVAN",""), IF(Calendario!I48="","YERAY",""))</f>
        <v/>
      </c>
      <c r="E15" s="41">
        <f>TEXTJOIN(", ";TRUE,IF(Calendario!C48&lt;&gt;"","RESI("&amp;Calendario!C48&amp;")",""), IF(Calendario!D48&lt;&gt;"","OSCAR("&amp;Calendario!D48&amp;")",""), IF(Calendario!E48&lt;&gt;"","CLARA("&amp;Calendario!E48&amp;")",""), IF(Calendario!F48&lt;&gt;"","ANNA("&amp;Calendario!F48&amp;")",""), IF(Calendario!G48&lt;&gt;"","PEPE("&amp;Calendario!G48&amp;")",""), IF(Calendario!H48&lt;&gt;"","IVAN("&amp;Calendario!H48&amp;")",""), IF(Calendario!I48&lt;&gt;"","YERAY("&amp;Calendario!I48&amp;")",""))</f>
        <v/>
      </c>
    </row>
    <row r="16" ht="22" customHeight="1">
      <c r="A16" s="8" t="n">
        <v>15</v>
      </c>
      <c r="B16" s="7" t="n">
        <v>46249</v>
      </c>
      <c r="C16" s="8" t="inlineStr">
        <is>
          <t>Sab</t>
        </is>
      </c>
      <c r="D16" s="42">
        <f>TEXTJOIN(", ";TRUE,IF(Calendario!C49="","RESI",""), IF(Calendario!D49="","OSCAR",""), IF(Calendario!E49="","CLARA",""), IF(Calendario!F49="","ANNA",""), IF(Calendario!G49="","PEPE",""), IF(Calendario!H49="","IVAN",""), IF(Calendario!I49="","YERAY",""))</f>
        <v/>
      </c>
      <c r="E16" s="42">
        <f>TEXTJOIN(", ";TRUE,IF(Calendario!C49&lt;&gt;"","RESI("&amp;Calendario!C49&amp;")",""), IF(Calendario!D49&lt;&gt;"","OSCAR("&amp;Calendario!D49&amp;")",""), IF(Calendario!E49&lt;&gt;"","CLARA("&amp;Calendario!E49&amp;")",""), IF(Calendario!F49&lt;&gt;"","ANNA("&amp;Calendario!F49&amp;")",""), IF(Calendario!G49&lt;&gt;"","PEPE("&amp;Calendario!G49&amp;")",""), IF(Calendario!H49&lt;&gt;"","IVAN("&amp;Calendario!H49&amp;")",""), IF(Calendario!I49&lt;&gt;"","YERAY("&amp;Calendario!I49&amp;")",""))</f>
        <v/>
      </c>
    </row>
    <row r="17" ht="22" customHeight="1">
      <c r="A17" s="8" t="n">
        <v>16</v>
      </c>
      <c r="B17" s="7" t="n">
        <v>46250</v>
      </c>
      <c r="C17" s="8" t="inlineStr">
        <is>
          <t>Dom</t>
        </is>
      </c>
      <c r="D17" s="42">
        <f>TEXTJOIN(", ";TRUE,IF(Calendario!C50="","RESI",""), IF(Calendario!D50="","OSCAR",""), IF(Calendario!E50="","CLARA",""), IF(Calendario!F50="","ANNA",""), IF(Calendario!G50="","PEPE",""), IF(Calendario!H50="","IVAN",""), IF(Calendario!I50="","YERAY",""))</f>
        <v/>
      </c>
      <c r="E17" s="42">
        <f>TEXTJOIN(", ";TRUE,IF(Calendario!C50&lt;&gt;"","RESI("&amp;Calendario!C50&amp;")",""), IF(Calendario!D50&lt;&gt;"","OSCAR("&amp;Calendario!D50&amp;")",""), IF(Calendario!E50&lt;&gt;"","CLARA("&amp;Calendario!E50&amp;")",""), IF(Calendario!F50&lt;&gt;"","ANNA("&amp;Calendario!F50&amp;")",""), IF(Calendario!G50&lt;&gt;"","PEPE("&amp;Calendario!G50&amp;")",""), IF(Calendario!H50&lt;&gt;"","IVAN("&amp;Calendario!H50&amp;")",""), IF(Calendario!I50&lt;&gt;"","YERAY("&amp;Calendario!I50&amp;")",""))</f>
        <v/>
      </c>
    </row>
    <row r="18" ht="22" customHeight="1">
      <c r="A18" s="6" t="n">
        <v>17</v>
      </c>
      <c r="B18" s="33" t="n">
        <v>46251</v>
      </c>
      <c r="C18" s="6" t="inlineStr">
        <is>
          <t>Lun</t>
        </is>
      </c>
      <c r="D18" s="41">
        <f>TEXTJOIN(", ";TRUE,IF(Calendario!C51="","RESI",""), IF(Calendario!D51="","OSCAR",""), IF(Calendario!E51="","CLARA",""), IF(Calendario!F51="","ANNA",""), IF(Calendario!G51="","PEPE",""), IF(Calendario!H51="","IVAN",""), IF(Calendario!I51="","YERAY",""))</f>
        <v/>
      </c>
      <c r="E18" s="41">
        <f>TEXTJOIN(", ";TRUE,IF(Calendario!C51&lt;&gt;"","RESI("&amp;Calendario!C51&amp;")",""), IF(Calendario!D51&lt;&gt;"","OSCAR("&amp;Calendario!D51&amp;")",""), IF(Calendario!E51&lt;&gt;"","CLARA("&amp;Calendario!E51&amp;")",""), IF(Calendario!F51&lt;&gt;"","ANNA("&amp;Calendario!F51&amp;")",""), IF(Calendario!G51&lt;&gt;"","PEPE("&amp;Calendario!G51&amp;")",""), IF(Calendario!H51&lt;&gt;"","IVAN("&amp;Calendario!H51&amp;")",""), IF(Calendario!I51&lt;&gt;"","YERAY("&amp;Calendario!I51&amp;")",""))</f>
        <v/>
      </c>
    </row>
    <row r="19" ht="22" customHeight="1">
      <c r="A19" s="6" t="n">
        <v>18</v>
      </c>
      <c r="B19" s="33" t="n">
        <v>46252</v>
      </c>
      <c r="C19" s="6" t="inlineStr">
        <is>
          <t>Mar</t>
        </is>
      </c>
      <c r="D19" s="41">
        <f>TEXTJOIN(", ";TRUE,IF(Calendario!C52="","RESI",""), IF(Calendario!D52="","OSCAR",""), IF(Calendario!E52="","CLARA",""), IF(Calendario!F52="","ANNA",""), IF(Calendario!G52="","PEPE",""), IF(Calendario!H52="","IVAN",""), IF(Calendario!I52="","YERAY",""))</f>
        <v/>
      </c>
      <c r="E19" s="41">
        <f>TEXTJOIN(", ";TRUE,IF(Calendario!C52&lt;&gt;"","RESI("&amp;Calendario!C52&amp;")",""), IF(Calendario!D52&lt;&gt;"","OSCAR("&amp;Calendario!D52&amp;")",""), IF(Calendario!E52&lt;&gt;"","CLARA("&amp;Calendario!E52&amp;")",""), IF(Calendario!F52&lt;&gt;"","ANNA("&amp;Calendario!F52&amp;")",""), IF(Calendario!G52&lt;&gt;"","PEPE("&amp;Calendario!G52&amp;")",""), IF(Calendario!H52&lt;&gt;"","IVAN("&amp;Calendario!H52&amp;")",""), IF(Calendario!I52&lt;&gt;"","YERAY("&amp;Calendario!I52&amp;")",""))</f>
        <v/>
      </c>
    </row>
    <row r="20" ht="22" customHeight="1">
      <c r="A20" s="6" t="n">
        <v>19</v>
      </c>
      <c r="B20" s="33" t="n">
        <v>46253</v>
      </c>
      <c r="C20" s="6" t="inlineStr">
        <is>
          <t>Mie</t>
        </is>
      </c>
      <c r="D20" s="41">
        <f>TEXTJOIN(", ";TRUE,IF(Calendario!C53="","RESI",""), IF(Calendario!D53="","OSCAR",""), IF(Calendario!E53="","CLARA",""), IF(Calendario!F53="","ANNA",""), IF(Calendario!G53="","PEPE",""), IF(Calendario!H53="","IVAN",""), IF(Calendario!I53="","YERAY",""))</f>
        <v/>
      </c>
      <c r="E20" s="41">
        <f>TEXTJOIN(", ";TRUE,IF(Calendario!C53&lt;&gt;"","RESI("&amp;Calendario!C53&amp;")",""), IF(Calendario!D53&lt;&gt;"","OSCAR("&amp;Calendario!D53&amp;")",""), IF(Calendario!E53&lt;&gt;"","CLARA("&amp;Calendario!E53&amp;")",""), IF(Calendario!F53&lt;&gt;"","ANNA("&amp;Calendario!F53&amp;")",""), IF(Calendario!G53&lt;&gt;"","PEPE("&amp;Calendario!G53&amp;")",""), IF(Calendario!H53&lt;&gt;"","IVAN("&amp;Calendario!H53&amp;")",""), IF(Calendario!I53&lt;&gt;"","YERAY("&amp;Calendario!I53&amp;")",""))</f>
        <v/>
      </c>
    </row>
    <row r="21" ht="22" customHeight="1">
      <c r="A21" s="6" t="n">
        <v>20</v>
      </c>
      <c r="B21" s="33" t="n">
        <v>46254</v>
      </c>
      <c r="C21" s="6" t="inlineStr">
        <is>
          <t>Jue</t>
        </is>
      </c>
      <c r="D21" s="41">
        <f>TEXTJOIN(", ";TRUE,IF(Calendario!C54="","RESI",""), IF(Calendario!D54="","OSCAR",""), IF(Calendario!E54="","CLARA",""), IF(Calendario!F54="","ANNA",""), IF(Calendario!G54="","PEPE",""), IF(Calendario!H54="","IVAN",""), IF(Calendario!I54="","YERAY",""))</f>
        <v/>
      </c>
      <c r="E21" s="41">
        <f>TEXTJOIN(", ";TRUE,IF(Calendario!C54&lt;&gt;"","RESI("&amp;Calendario!C54&amp;")",""), IF(Calendario!D54&lt;&gt;"","OSCAR("&amp;Calendario!D54&amp;")",""), IF(Calendario!E54&lt;&gt;"","CLARA("&amp;Calendario!E54&amp;")",""), IF(Calendario!F54&lt;&gt;"","ANNA("&amp;Calendario!F54&amp;")",""), IF(Calendario!G54&lt;&gt;"","PEPE("&amp;Calendario!G54&amp;")",""), IF(Calendario!H54&lt;&gt;"","IVAN("&amp;Calendario!H54&amp;")",""), IF(Calendario!I54&lt;&gt;"","YERAY("&amp;Calendario!I54&amp;")",""))</f>
        <v/>
      </c>
    </row>
    <row r="22" ht="22" customHeight="1">
      <c r="A22" s="6" t="n">
        <v>21</v>
      </c>
      <c r="B22" s="33" t="n">
        <v>46255</v>
      </c>
      <c r="C22" s="6" t="inlineStr">
        <is>
          <t>Vie</t>
        </is>
      </c>
      <c r="D22" s="41">
        <f>TEXTJOIN(", ";TRUE,IF(Calendario!C55="","RESI",""), IF(Calendario!D55="","OSCAR",""), IF(Calendario!E55="","CLARA",""), IF(Calendario!F55="","ANNA",""), IF(Calendario!G55="","PEPE",""), IF(Calendario!H55="","IVAN",""), IF(Calendario!I55="","YERAY",""))</f>
        <v/>
      </c>
      <c r="E22" s="41">
        <f>TEXTJOIN(", ";TRUE,IF(Calendario!C55&lt;&gt;"","RESI("&amp;Calendario!C55&amp;")",""), IF(Calendario!D55&lt;&gt;"","OSCAR("&amp;Calendario!D55&amp;")",""), IF(Calendario!E55&lt;&gt;"","CLARA("&amp;Calendario!E55&amp;")",""), IF(Calendario!F55&lt;&gt;"","ANNA("&amp;Calendario!F55&amp;")",""), IF(Calendario!G55&lt;&gt;"","PEPE("&amp;Calendario!G55&amp;")",""), IF(Calendario!H55&lt;&gt;"","IVAN("&amp;Calendario!H55&amp;")",""), IF(Calendario!I55&lt;&gt;"","YERAY("&amp;Calendario!I55&amp;")",""))</f>
        <v/>
      </c>
    </row>
    <row r="23" ht="22" customHeight="1">
      <c r="A23" s="8" t="n">
        <v>22</v>
      </c>
      <c r="B23" s="7" t="n">
        <v>46256</v>
      </c>
      <c r="C23" s="8" t="inlineStr">
        <is>
          <t>Sab</t>
        </is>
      </c>
      <c r="D23" s="42">
        <f>TEXTJOIN(", ";TRUE,IF(Calendario!C56="","RESI",""), IF(Calendario!D56="","OSCAR",""), IF(Calendario!E56="","CLARA",""), IF(Calendario!F56="","ANNA",""), IF(Calendario!G56="","PEPE",""), IF(Calendario!H56="","IVAN",""), IF(Calendario!I56="","YERAY",""))</f>
        <v/>
      </c>
      <c r="E23" s="42">
        <f>TEXTJOIN(", ";TRUE,IF(Calendario!C56&lt;&gt;"","RESI("&amp;Calendario!C56&amp;")",""), IF(Calendario!D56&lt;&gt;"","OSCAR("&amp;Calendario!D56&amp;")",""), IF(Calendario!E56&lt;&gt;"","CLARA("&amp;Calendario!E56&amp;")",""), IF(Calendario!F56&lt;&gt;"","ANNA("&amp;Calendario!F56&amp;")",""), IF(Calendario!G56&lt;&gt;"","PEPE("&amp;Calendario!G56&amp;")",""), IF(Calendario!H56&lt;&gt;"","IVAN("&amp;Calendario!H56&amp;")",""), IF(Calendario!I56&lt;&gt;"","YERAY("&amp;Calendario!I56&amp;")",""))</f>
        <v/>
      </c>
    </row>
    <row r="24" ht="22" customHeight="1">
      <c r="A24" s="8" t="n">
        <v>23</v>
      </c>
      <c r="B24" s="7" t="n">
        <v>46257</v>
      </c>
      <c r="C24" s="8" t="inlineStr">
        <is>
          <t>Dom</t>
        </is>
      </c>
      <c r="D24" s="42">
        <f>TEXTJOIN(", ";TRUE,IF(Calendario!C57="","RESI",""), IF(Calendario!D57="","OSCAR",""), IF(Calendario!E57="","CLARA",""), IF(Calendario!F57="","ANNA",""), IF(Calendario!G57="","PEPE",""), IF(Calendario!H57="","IVAN",""), IF(Calendario!I57="","YERAY",""))</f>
        <v/>
      </c>
      <c r="E24" s="42">
        <f>TEXTJOIN(", ";TRUE,IF(Calendario!C57&lt;&gt;"","RESI("&amp;Calendario!C57&amp;")",""), IF(Calendario!D57&lt;&gt;"","OSCAR("&amp;Calendario!D57&amp;")",""), IF(Calendario!E57&lt;&gt;"","CLARA("&amp;Calendario!E57&amp;")",""), IF(Calendario!F57&lt;&gt;"","ANNA("&amp;Calendario!F57&amp;")",""), IF(Calendario!G57&lt;&gt;"","PEPE("&amp;Calendario!G57&amp;")",""), IF(Calendario!H57&lt;&gt;"","IVAN("&amp;Calendario!H57&amp;")",""), IF(Calendario!I57&lt;&gt;"","YERAY("&amp;Calendario!I57&amp;")",""))</f>
        <v/>
      </c>
    </row>
    <row r="25" ht="22" customHeight="1">
      <c r="A25" s="6" t="n">
        <v>24</v>
      </c>
      <c r="B25" s="33" t="n">
        <v>46258</v>
      </c>
      <c r="C25" s="6" t="inlineStr">
        <is>
          <t>Lun</t>
        </is>
      </c>
      <c r="D25" s="41">
        <f>TEXTJOIN(", ";TRUE,IF(Calendario!C58="","RESI",""), IF(Calendario!D58="","OSCAR",""), IF(Calendario!E58="","CLARA",""), IF(Calendario!F58="","ANNA",""), IF(Calendario!G58="","PEPE",""), IF(Calendario!H58="","IVAN",""), IF(Calendario!I58="","YERAY",""))</f>
        <v/>
      </c>
      <c r="E25" s="41">
        <f>TEXTJOIN(", ";TRUE,IF(Calendario!C58&lt;&gt;"","RESI("&amp;Calendario!C58&amp;")",""), IF(Calendario!D58&lt;&gt;"","OSCAR("&amp;Calendario!D58&amp;")",""), IF(Calendario!E58&lt;&gt;"","CLARA("&amp;Calendario!E58&amp;")",""), IF(Calendario!F58&lt;&gt;"","ANNA("&amp;Calendario!F58&amp;")",""), IF(Calendario!G58&lt;&gt;"","PEPE("&amp;Calendario!G58&amp;")",""), IF(Calendario!H58&lt;&gt;"","IVAN("&amp;Calendario!H58&amp;")",""), IF(Calendario!I58&lt;&gt;"","YERAY("&amp;Calendario!I58&amp;")",""))</f>
        <v/>
      </c>
    </row>
    <row r="26" ht="22" customHeight="1">
      <c r="A26" s="6" t="n">
        <v>25</v>
      </c>
      <c r="B26" s="33" t="n">
        <v>46259</v>
      </c>
      <c r="C26" s="6" t="inlineStr">
        <is>
          <t>Mar</t>
        </is>
      </c>
      <c r="D26" s="41">
        <f>TEXTJOIN(", ";TRUE,IF(Calendario!C59="","RESI",""), IF(Calendario!D59="","OSCAR",""), IF(Calendario!E59="","CLARA",""), IF(Calendario!F59="","ANNA",""), IF(Calendario!G59="","PEPE",""), IF(Calendario!H59="","IVAN",""), IF(Calendario!I59="","YERAY",""))</f>
        <v/>
      </c>
      <c r="E26" s="41">
        <f>TEXTJOIN(", ";TRUE,IF(Calendario!C59&lt;&gt;"","RESI("&amp;Calendario!C59&amp;")",""), IF(Calendario!D59&lt;&gt;"","OSCAR("&amp;Calendario!D59&amp;")",""), IF(Calendario!E59&lt;&gt;"","CLARA("&amp;Calendario!E59&amp;")",""), IF(Calendario!F59&lt;&gt;"","ANNA("&amp;Calendario!F59&amp;")",""), IF(Calendario!G59&lt;&gt;"","PEPE("&amp;Calendario!G59&amp;")",""), IF(Calendario!H59&lt;&gt;"","IVAN("&amp;Calendario!H59&amp;")",""), IF(Calendario!I59&lt;&gt;"","YERAY("&amp;Calendario!I59&amp;")",""))</f>
        <v/>
      </c>
    </row>
    <row r="27" ht="22" customHeight="1">
      <c r="A27" s="6" t="n">
        <v>26</v>
      </c>
      <c r="B27" s="33" t="n">
        <v>46260</v>
      </c>
      <c r="C27" s="6" t="inlineStr">
        <is>
          <t>Mie</t>
        </is>
      </c>
      <c r="D27" s="41">
        <f>TEXTJOIN(", ";TRUE,IF(Calendario!C60="","RESI",""), IF(Calendario!D60="","OSCAR",""), IF(Calendario!E60="","CLARA",""), IF(Calendario!F60="","ANNA",""), IF(Calendario!G60="","PEPE",""), IF(Calendario!H60="","IVAN",""), IF(Calendario!I60="","YERAY",""))</f>
        <v/>
      </c>
      <c r="E27" s="41">
        <f>TEXTJOIN(", ";TRUE,IF(Calendario!C60&lt;&gt;"","RESI("&amp;Calendario!C60&amp;")",""), IF(Calendario!D60&lt;&gt;"","OSCAR("&amp;Calendario!D60&amp;")",""), IF(Calendario!E60&lt;&gt;"","CLARA("&amp;Calendario!E60&amp;")",""), IF(Calendario!F60&lt;&gt;"","ANNA("&amp;Calendario!F60&amp;")",""), IF(Calendario!G60&lt;&gt;"","PEPE("&amp;Calendario!G60&amp;")",""), IF(Calendario!H60&lt;&gt;"","IVAN("&amp;Calendario!H60&amp;")",""), IF(Calendario!I60&lt;&gt;"","YERAY("&amp;Calendario!I60&amp;")",""))</f>
        <v/>
      </c>
    </row>
    <row r="28" ht="22" customHeight="1">
      <c r="A28" s="6" t="n">
        <v>27</v>
      </c>
      <c r="B28" s="33" t="n">
        <v>46261</v>
      </c>
      <c r="C28" s="6" t="inlineStr">
        <is>
          <t>Jue</t>
        </is>
      </c>
      <c r="D28" s="41">
        <f>TEXTJOIN(", ";TRUE,IF(Calendario!C61="","RESI",""), IF(Calendario!D61="","OSCAR",""), IF(Calendario!E61="","CLARA",""), IF(Calendario!F61="","ANNA",""), IF(Calendario!G61="","PEPE",""), IF(Calendario!H61="","IVAN",""), IF(Calendario!I61="","YERAY",""))</f>
        <v/>
      </c>
      <c r="E28" s="41">
        <f>TEXTJOIN(", ";TRUE,IF(Calendario!C61&lt;&gt;"","RESI("&amp;Calendario!C61&amp;")",""), IF(Calendario!D61&lt;&gt;"","OSCAR("&amp;Calendario!D61&amp;")",""), IF(Calendario!E61&lt;&gt;"","CLARA("&amp;Calendario!E61&amp;")",""), IF(Calendario!F61&lt;&gt;"","ANNA("&amp;Calendario!F61&amp;")",""), IF(Calendario!G61&lt;&gt;"","PEPE("&amp;Calendario!G61&amp;")",""), IF(Calendario!H61&lt;&gt;"","IVAN("&amp;Calendario!H61&amp;")",""), IF(Calendario!I61&lt;&gt;"","YERAY("&amp;Calendario!I61&amp;")",""))</f>
        <v/>
      </c>
    </row>
    <row r="29" ht="22" customHeight="1">
      <c r="A29" s="6" t="n">
        <v>28</v>
      </c>
      <c r="B29" s="33" t="n">
        <v>46262</v>
      </c>
      <c r="C29" s="6" t="inlineStr">
        <is>
          <t>Vie</t>
        </is>
      </c>
      <c r="D29" s="41">
        <f>TEXTJOIN(", ";TRUE,IF(Calendario!C62="","RESI",""), IF(Calendario!D62="","OSCAR",""), IF(Calendario!E62="","CLARA",""), IF(Calendario!F62="","ANNA",""), IF(Calendario!G62="","PEPE",""), IF(Calendario!H62="","IVAN",""), IF(Calendario!I62="","YERAY",""))</f>
        <v/>
      </c>
      <c r="E29" s="41">
        <f>TEXTJOIN(", ";TRUE,IF(Calendario!C62&lt;&gt;"","RESI("&amp;Calendario!C62&amp;")",""), IF(Calendario!D62&lt;&gt;"","OSCAR("&amp;Calendario!D62&amp;")",""), IF(Calendario!E62&lt;&gt;"","CLARA("&amp;Calendario!E62&amp;")",""), IF(Calendario!F62&lt;&gt;"","ANNA("&amp;Calendario!F62&amp;")",""), IF(Calendario!G62&lt;&gt;"","PEPE("&amp;Calendario!G62&amp;")",""), IF(Calendario!H62&lt;&gt;"","IVAN("&amp;Calendario!H62&amp;")",""), IF(Calendario!I62&lt;&gt;"","YERAY("&amp;Calendario!I62&amp;")",""))</f>
        <v/>
      </c>
    </row>
    <row r="30" ht="22" customHeight="1">
      <c r="A30" s="8" t="n">
        <v>29</v>
      </c>
      <c r="B30" s="7" t="n">
        <v>46263</v>
      </c>
      <c r="C30" s="8" t="inlineStr">
        <is>
          <t>Sab</t>
        </is>
      </c>
      <c r="D30" s="42">
        <f>TEXTJOIN(", ";TRUE,IF(Calendario!C63="","RESI",""), IF(Calendario!D63="","OSCAR",""), IF(Calendario!E63="","CLARA",""), IF(Calendario!F63="","ANNA",""), IF(Calendario!G63="","PEPE",""), IF(Calendario!H63="","IVAN",""), IF(Calendario!I63="","YERAY",""))</f>
        <v/>
      </c>
      <c r="E30" s="42">
        <f>TEXTJOIN(", ";TRUE,IF(Calendario!C63&lt;&gt;"","RESI("&amp;Calendario!C63&amp;")",""), IF(Calendario!D63&lt;&gt;"","OSCAR("&amp;Calendario!D63&amp;")",""), IF(Calendario!E63&lt;&gt;"","CLARA("&amp;Calendario!E63&amp;")",""), IF(Calendario!F63&lt;&gt;"","ANNA("&amp;Calendario!F63&amp;")",""), IF(Calendario!G63&lt;&gt;"","PEPE("&amp;Calendario!G63&amp;")",""), IF(Calendario!H63&lt;&gt;"","IVAN("&amp;Calendario!H63&amp;")",""), IF(Calendario!I63&lt;&gt;"","YERAY("&amp;Calendario!I63&amp;")",""))</f>
        <v/>
      </c>
    </row>
    <row r="31" ht="22" customHeight="1">
      <c r="A31" s="8" t="n">
        <v>30</v>
      </c>
      <c r="B31" s="7" t="n">
        <v>46264</v>
      </c>
      <c r="C31" s="8" t="inlineStr">
        <is>
          <t>Dom</t>
        </is>
      </c>
      <c r="D31" s="42">
        <f>TEXTJOIN(", ";TRUE,IF(Calendario!C64="","RESI",""), IF(Calendario!D64="","OSCAR",""), IF(Calendario!E64="","CLARA",""), IF(Calendario!F64="","ANNA",""), IF(Calendario!G64="","PEPE",""), IF(Calendario!H64="","IVAN",""), IF(Calendario!I64="","YERAY",""))</f>
        <v/>
      </c>
      <c r="E31" s="42">
        <f>TEXTJOIN(", ";TRUE,IF(Calendario!C64&lt;&gt;"","RESI("&amp;Calendario!C64&amp;")",""), IF(Calendario!D64&lt;&gt;"","OSCAR("&amp;Calendario!D64&amp;")",""), IF(Calendario!E64&lt;&gt;"","CLARA("&amp;Calendario!E64&amp;")",""), IF(Calendario!F64&lt;&gt;"","ANNA("&amp;Calendario!F64&amp;")",""), IF(Calendario!G64&lt;&gt;"","PEPE("&amp;Calendario!G64&amp;")",""), IF(Calendario!H64&lt;&gt;"","IVAN("&amp;Calendario!H64&amp;")",""), IF(Calendario!I64&lt;&gt;"","YERAY("&amp;Calendario!I64&amp;")",""))</f>
        <v/>
      </c>
    </row>
    <row r="32" ht="22" customHeight="1">
      <c r="A32" s="6" t="n">
        <v>31</v>
      </c>
      <c r="B32" s="33" t="n">
        <v>46265</v>
      </c>
      <c r="C32" s="6" t="inlineStr">
        <is>
          <t>Lun</t>
        </is>
      </c>
      <c r="D32" s="41">
        <f>TEXTJOIN(", ";TRUE,IF(Calendario!C65="","RESI",""), IF(Calendario!D65="","OSCAR",""), IF(Calendario!E65="","CLARA",""), IF(Calendario!F65="","ANNA",""), IF(Calendario!G65="","PEPE",""), IF(Calendario!H65="","IVAN",""), IF(Calendario!I65="","YERAY",""))</f>
        <v/>
      </c>
      <c r="E32" s="41">
        <f>TEXTJOIN(", ";TRUE,IF(Calendario!C65&lt;&gt;"","RESI("&amp;Calendario!C65&amp;")",""), IF(Calendario!D65&lt;&gt;"","OSCAR("&amp;Calendario!D65&amp;")",""), IF(Calendario!E65&lt;&gt;"","CLARA("&amp;Calendario!E65&amp;")",""), IF(Calendario!F65&lt;&gt;"","ANNA("&amp;Calendario!F65&amp;")",""), IF(Calendario!G65&lt;&gt;"","PEPE("&amp;Calendario!G65&amp;")",""), IF(Calendario!H65&lt;&gt;"","IVAN("&amp;Calendario!H65&amp;")",""), IF(Calendario!I65&lt;&gt;"","YERAY("&amp;Calendario!I65&amp;")",""))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44" t="inlineStr">
        <is>
          <t xml:space="preserve">  JULIO 2026</t>
        </is>
      </c>
      <c r="B1" s="3" t="n"/>
      <c r="C1" s="3" t="n"/>
      <c r="D1" s="3" t="n"/>
      <c r="E1" s="3" t="n"/>
      <c r="F1" s="3" t="n"/>
      <c r="G1" s="3" t="n"/>
    </row>
    <row r="2" ht="26" customHeight="1">
      <c r="A2" s="45" t="inlineStr">
        <is>
          <t>Lun</t>
        </is>
      </c>
      <c r="B2" s="45" t="inlineStr">
        <is>
          <t>Mar</t>
        </is>
      </c>
      <c r="C2" s="45" t="inlineStr">
        <is>
          <t>Mie</t>
        </is>
      </c>
      <c r="D2" s="45" t="inlineStr">
        <is>
          <t>Jue</t>
        </is>
      </c>
      <c r="E2" s="45" t="inlineStr">
        <is>
          <t>Vie</t>
        </is>
      </c>
      <c r="F2" s="45" t="inlineStr">
        <is>
          <t>Sab</t>
        </is>
      </c>
      <c r="G2" s="45" t="inlineStr">
        <is>
          <t>Dom</t>
        </is>
      </c>
    </row>
    <row r="3" ht="130" customHeight="1">
      <c r="A3" s="46" t="n"/>
      <c r="B3" s="46" t="n"/>
      <c r="C3" s="47">
        <f>TEXTJOIN(CHAR(10);TRUE;TEXT(Calendario!A3,"DD"),IF(Calendario!C3="";"🟢 RESI";""),IF(Calendario!C3="CL";"🟤 RESI(CL)";""),IF(Calendario!C3="FV";"🟡 RESI(FV)";""),IF(Calendario!C3="TM";"🔵 RESI(TM)";""),IF(Calendario!C3="TN";"🟣 RESI(TN)";""),IF(Calendario!C3="TT";"🟠 RESI(TT)";""),IF(Calendario!D3="";"🟢 OSCAR";""),IF(Calendario!D3="CL";"🟤 OSCAR(CL)";""),IF(Calendario!D3="FV";"🟡 OSCAR(FV)";""),IF(Calendario!D3="TM";"🔵 OSCAR(TM)";""),IF(Calendario!D3="TN";"🟣 OSCAR(TN)";""),IF(Calendario!D3="TT";"🟠 OSCAR(TT)";""),IF(Calendario!E3="";"🟢 CLARA";""),IF(Calendario!E3="CL";"🟤 CLARA(CL)";""),IF(Calendario!E3="FV";"🟡 CLARA(FV)";""),IF(Calendario!E3="TM";"🔵 CLARA(TM)";""),IF(Calendario!E3="TN";"🟣 CLARA(TN)";""),IF(Calendario!E3="TT";"🟠 CLARA(TT)";""),IF(Calendario!F3="";"🟢 ANNA";""),IF(Calendario!F3="CL";"🟤 ANNA(CL)";""),IF(Calendario!F3="FV";"🟡 ANNA(FV)";""),IF(Calendario!F3="TM";"🔵 ANNA(TM)";""),IF(Calendario!F3="TN";"🟣 ANNA(TN)";""),IF(Calendario!F3="TT";"🟠 ANNA(TT)";""),IF(Calendario!G3="";"🟢 PEPE";""),IF(Calendario!G3="CL";"🟤 PEPE(CL)";""),IF(Calendario!G3="FV";"🟡 PEPE(FV)";""),IF(Calendario!G3="TM";"🔵 PEPE(TM)";""),IF(Calendario!G3="TN";"🟣 PEPE(TN)";""),IF(Calendario!G3="TT";"🟠 PEPE(TT)";""),IF(Calendario!H3="";"🟢 IVAN";""),IF(Calendario!H3="CL";"🟤 IVAN(CL)";""),IF(Calendario!H3="FV";"🟡 IVAN(FV)";""),IF(Calendario!H3="TM";"🔵 IVAN(TM)";""),IF(Calendario!H3="TN";"🟣 IVAN(TN)";""),IF(Calendario!H3="TT";"🟠 IVAN(TT)";""),IF(Calendario!I3="";"🟢 YERAY";""),IF(Calendario!I3="CL";"🟤 YERAY(CL)";""),IF(Calendario!I3="FV";"🟡 YERAY(FV)";""),IF(Calendario!I3="TM";"🔵 YERAY(TM)";""),IF(Calendario!I3="TN";"🟣 YERAY(TN)";""),IF(Calendario!I3="TT";"🟠 YERAY(TT)";""))</f>
        <v/>
      </c>
      <c r="D3" s="47">
        <f>TEXTJOIN(CHAR(10);TRUE;TEXT(Calendario!A4,"DD"),IF(Calendario!C4="";"🟢 RESI";""),IF(Calendario!C4="CL";"🟤 RESI(CL)";""),IF(Calendario!C4="FV";"🟡 RESI(FV)";""),IF(Calendario!C4="TM";"🔵 RESI(TM)";""),IF(Calendario!C4="TN";"🟣 RESI(TN)";""),IF(Calendario!C4="TT";"🟠 RESI(TT)";""),IF(Calendario!D4="";"🟢 OSCAR";""),IF(Calendario!D4="CL";"🟤 OSCAR(CL)";""),IF(Calendario!D4="FV";"🟡 OSCAR(FV)";""),IF(Calendario!D4="TM";"🔵 OSCAR(TM)";""),IF(Calendario!D4="TN";"🟣 OSCAR(TN)";""),IF(Calendario!D4="TT";"🟠 OSCAR(TT)";""),IF(Calendario!E4="";"🟢 CLARA";""),IF(Calendario!E4="CL";"🟤 CLARA(CL)";""),IF(Calendario!E4="FV";"🟡 CLARA(FV)";""),IF(Calendario!E4="TM";"🔵 CLARA(TM)";""),IF(Calendario!E4="TN";"🟣 CLARA(TN)";""),IF(Calendario!E4="TT";"🟠 CLARA(TT)";""),IF(Calendario!F4="";"🟢 ANNA";""),IF(Calendario!F4="CL";"🟤 ANNA(CL)";""),IF(Calendario!F4="FV";"🟡 ANNA(FV)";""),IF(Calendario!F4="TM";"🔵 ANNA(TM)";""),IF(Calendario!F4="TN";"🟣 ANNA(TN)";""),IF(Calendario!F4="TT";"🟠 ANNA(TT)";""),IF(Calendario!G4="";"🟢 PEPE";""),IF(Calendario!G4="CL";"🟤 PEPE(CL)";""),IF(Calendario!G4="FV";"🟡 PEPE(FV)";""),IF(Calendario!G4="TM";"🔵 PEPE(TM)";""),IF(Calendario!G4="TN";"🟣 PEPE(TN)";""),IF(Calendario!G4="TT";"🟠 PEPE(TT)";""),IF(Calendario!H4="";"🟢 IVAN";""),IF(Calendario!H4="CL";"🟤 IVAN(CL)";""),IF(Calendario!H4="FV";"🟡 IVAN(FV)";""),IF(Calendario!H4="TM";"🔵 IVAN(TM)";""),IF(Calendario!H4="TN";"🟣 IVAN(TN)";""),IF(Calendario!H4="TT";"🟠 IVAN(TT)";""),IF(Calendario!I4="";"🟢 YERAY";""),IF(Calendario!I4="CL";"🟤 YERAY(CL)";""),IF(Calendario!I4="FV";"🟡 YERAY(FV)";""),IF(Calendario!I4="TM";"🔵 YERAY(TM)";""),IF(Calendario!I4="TN";"🟣 YERAY(TN)";""),IF(Calendario!I4="TT";"🟠 YERAY(TT)";""))</f>
        <v/>
      </c>
      <c r="E3" s="47">
        <f>TEXTJOIN(CHAR(10);TRUE;TEXT(Calendario!A5,"DD"),IF(Calendario!C5="";"🟢 RESI";""),IF(Calendario!C5="CL";"🟤 RESI(CL)";""),IF(Calendario!C5="FV";"🟡 RESI(FV)";""),IF(Calendario!C5="TM";"🔵 RESI(TM)";""),IF(Calendario!C5="TN";"🟣 RESI(TN)";""),IF(Calendario!C5="TT";"🟠 RESI(TT)";""),IF(Calendario!D5="";"🟢 OSCAR";""),IF(Calendario!D5="CL";"🟤 OSCAR(CL)";""),IF(Calendario!D5="FV";"🟡 OSCAR(FV)";""),IF(Calendario!D5="TM";"🔵 OSCAR(TM)";""),IF(Calendario!D5="TN";"🟣 OSCAR(TN)";""),IF(Calendario!D5="TT";"🟠 OSCAR(TT)";""),IF(Calendario!E5="";"🟢 CLARA";""),IF(Calendario!E5="CL";"🟤 CLARA(CL)";""),IF(Calendario!E5="FV";"🟡 CLARA(FV)";""),IF(Calendario!E5="TM";"🔵 CLARA(TM)";""),IF(Calendario!E5="TN";"🟣 CLARA(TN)";""),IF(Calendario!E5="TT";"🟠 CLARA(TT)";""),IF(Calendario!F5="";"🟢 ANNA";""),IF(Calendario!F5="CL";"🟤 ANNA(CL)";""),IF(Calendario!F5="FV";"🟡 ANNA(FV)";""),IF(Calendario!F5="TM";"🔵 ANNA(TM)";""),IF(Calendario!F5="TN";"🟣 ANNA(TN)";""),IF(Calendario!F5="TT";"🟠 ANNA(TT)";""),IF(Calendario!G5="";"🟢 PEPE";""),IF(Calendario!G5="CL";"🟤 PEPE(CL)";""),IF(Calendario!G5="FV";"🟡 PEPE(FV)";""),IF(Calendario!G5="TM";"🔵 PEPE(TM)";""),IF(Calendario!G5="TN";"🟣 PEPE(TN)";""),IF(Calendario!G5="TT";"🟠 PEPE(TT)";""),IF(Calendario!H5="";"🟢 IVAN";""),IF(Calendario!H5="CL";"🟤 IVAN(CL)";""),IF(Calendario!H5="FV";"🟡 IVAN(FV)";""),IF(Calendario!H5="TM";"🔵 IVAN(TM)";""),IF(Calendario!H5="TN";"🟣 IVAN(TN)";""),IF(Calendario!H5="TT";"🟠 IVAN(TT)";""),IF(Calendario!I5="";"🟢 YERAY";""),IF(Calendario!I5="CL";"🟤 YERAY(CL)";""),IF(Calendario!I5="FV";"🟡 YERAY(FV)";""),IF(Calendario!I5="TM";"🔵 YERAY(TM)";""),IF(Calendario!I5="TN";"🟣 YERAY(TN)";""),IF(Calendario!I5="TT";"🟠 YERAY(TT)";""))</f>
        <v/>
      </c>
      <c r="F3" s="48">
        <f>TEXTJOIN(CHAR(10);TRUE;TEXT(Calendario!A6,"DD"),IF(Calendario!C6="";"🟢 RESI";""),IF(Calendario!C6="CL";"🟤 RESI(CL)";""),IF(Calendario!C6="FV";"🟡 RESI(FV)";""),IF(Calendario!C6="TM";"🔵 RESI(TM)";""),IF(Calendario!C6="TN";"🟣 RESI(TN)";""),IF(Calendario!C6="TT";"🟠 RESI(TT)";""),IF(Calendario!D6="";"🟢 OSCAR";""),IF(Calendario!D6="CL";"🟤 OSCAR(CL)";""),IF(Calendario!D6="FV";"🟡 OSCAR(FV)";""),IF(Calendario!D6="TM";"🔵 OSCAR(TM)";""),IF(Calendario!D6="TN";"🟣 OSCAR(TN)";""),IF(Calendario!D6="TT";"🟠 OSCAR(TT)";""),IF(Calendario!E6="";"🟢 CLARA";""),IF(Calendario!E6="CL";"🟤 CLARA(CL)";""),IF(Calendario!E6="FV";"🟡 CLARA(FV)";""),IF(Calendario!E6="TM";"🔵 CLARA(TM)";""),IF(Calendario!E6="TN";"🟣 CLARA(TN)";""),IF(Calendario!E6="TT";"🟠 CLARA(TT)";""),IF(Calendario!F6="";"🟢 ANNA";""),IF(Calendario!F6="CL";"🟤 ANNA(CL)";""),IF(Calendario!F6="FV";"🟡 ANNA(FV)";""),IF(Calendario!F6="TM";"🔵 ANNA(TM)";""),IF(Calendario!F6="TN";"🟣 ANNA(TN)";""),IF(Calendario!F6="TT";"🟠 ANNA(TT)";""),IF(Calendario!G6="";"🟢 PEPE";""),IF(Calendario!G6="CL";"🟤 PEPE(CL)";""),IF(Calendario!G6="FV";"🟡 PEPE(FV)";""),IF(Calendario!G6="TM";"🔵 PEPE(TM)";""),IF(Calendario!G6="TN";"🟣 PEPE(TN)";""),IF(Calendario!G6="TT";"🟠 PEPE(TT)";""),IF(Calendario!H6="";"🟢 IVAN";""),IF(Calendario!H6="CL";"🟤 IVAN(CL)";""),IF(Calendario!H6="FV";"🟡 IVAN(FV)";""),IF(Calendario!H6="TM";"🔵 IVAN(TM)";""),IF(Calendario!H6="TN";"🟣 IVAN(TN)";""),IF(Calendario!H6="TT";"🟠 IVAN(TT)";""),IF(Calendario!I6="";"🟢 YERAY";""),IF(Calendario!I6="CL";"🟤 YERAY(CL)";""),IF(Calendario!I6="FV";"🟡 YERAY(FV)";""),IF(Calendario!I6="TM";"🔵 YERAY(TM)";""),IF(Calendario!I6="TN";"🟣 YERAY(TN)";""),IF(Calendario!I6="TT";"🟠 YERAY(TT)";""))</f>
        <v/>
      </c>
      <c r="G3" s="48">
        <f>TEXTJOIN(CHAR(10);TRUE;TEXT(Calendario!A7,"DD"),IF(Calendario!C7="";"🟢 RESI";""),IF(Calendario!C7="CL";"🟤 RESI(CL)";""),IF(Calendario!C7="FV";"🟡 RESI(FV)";""),IF(Calendario!C7="TM";"🔵 RESI(TM)";""),IF(Calendario!C7="TN";"🟣 RESI(TN)";""),IF(Calendario!C7="TT";"🟠 RESI(TT)";""),IF(Calendario!D7="";"🟢 OSCAR";""),IF(Calendario!D7="CL";"🟤 OSCAR(CL)";""),IF(Calendario!D7="FV";"🟡 OSCAR(FV)";""),IF(Calendario!D7="TM";"🔵 OSCAR(TM)";""),IF(Calendario!D7="TN";"🟣 OSCAR(TN)";""),IF(Calendario!D7="TT";"🟠 OSCAR(TT)";""),IF(Calendario!E7="";"🟢 CLARA";""),IF(Calendario!E7="CL";"🟤 CLARA(CL)";""),IF(Calendario!E7="FV";"🟡 CLARA(FV)";""),IF(Calendario!E7="TM";"🔵 CLARA(TM)";""),IF(Calendario!E7="TN";"🟣 CLARA(TN)";""),IF(Calendario!E7="TT";"🟠 CLARA(TT)";""),IF(Calendario!F7="";"🟢 ANNA";""),IF(Calendario!F7="CL";"🟤 ANNA(CL)";""),IF(Calendario!F7="FV";"🟡 ANNA(FV)";""),IF(Calendario!F7="TM";"🔵 ANNA(TM)";""),IF(Calendario!F7="TN";"🟣 ANNA(TN)";""),IF(Calendario!F7="TT";"🟠 ANNA(TT)";""),IF(Calendario!G7="";"🟢 PEPE";""),IF(Calendario!G7="CL";"🟤 PEPE(CL)";""),IF(Calendario!G7="FV";"🟡 PEPE(FV)";""),IF(Calendario!G7="TM";"🔵 PEPE(TM)";""),IF(Calendario!G7="TN";"🟣 PEPE(TN)";""),IF(Calendario!G7="TT";"🟠 PEPE(TT)";""),IF(Calendario!H7="";"🟢 IVAN";""),IF(Calendario!H7="CL";"🟤 IVAN(CL)";""),IF(Calendario!H7="FV";"🟡 IVAN(FV)";""),IF(Calendario!H7="TM";"🔵 IVAN(TM)";""),IF(Calendario!H7="TN";"🟣 IVAN(TN)";""),IF(Calendario!H7="TT";"🟠 IVAN(TT)";""),IF(Calendario!I7="";"🟢 YERAY";""),IF(Calendario!I7="CL";"🟤 YERAY(CL)";""),IF(Calendario!I7="FV";"🟡 YERAY(FV)";""),IF(Calendario!I7="TM";"🔵 YERAY(TM)";""),IF(Calendario!I7="TN";"🟣 YERAY(TN)";""),IF(Calendario!I7="TT";"🟠 YERAY(TT)";""))</f>
        <v/>
      </c>
    </row>
    <row r="4" ht="130" customHeight="1">
      <c r="A4" s="47">
        <f>TEXTJOIN(CHAR(10);TRUE;TEXT(Calendario!A8,"DD"),IF(Calendario!C8="";"🟢 RESI";""),IF(Calendario!C8="CL";"🟤 RESI(CL)";""),IF(Calendario!C8="FV";"🟡 RESI(FV)";""),IF(Calendario!C8="TM";"🔵 RESI(TM)";""),IF(Calendario!C8="TN";"🟣 RESI(TN)";""),IF(Calendario!C8="TT";"🟠 RESI(TT)";""),IF(Calendario!D8="";"🟢 OSCAR";""),IF(Calendario!D8="CL";"🟤 OSCAR(CL)";""),IF(Calendario!D8="FV";"🟡 OSCAR(FV)";""),IF(Calendario!D8="TM";"🔵 OSCAR(TM)";""),IF(Calendario!D8="TN";"🟣 OSCAR(TN)";""),IF(Calendario!D8="TT";"🟠 OSCAR(TT)";""),IF(Calendario!E8="";"🟢 CLARA";""),IF(Calendario!E8="CL";"🟤 CLARA(CL)";""),IF(Calendario!E8="FV";"🟡 CLARA(FV)";""),IF(Calendario!E8="TM";"🔵 CLARA(TM)";""),IF(Calendario!E8="TN";"🟣 CLARA(TN)";""),IF(Calendario!E8="TT";"🟠 CLARA(TT)";""),IF(Calendario!F8="";"🟢 ANNA";""),IF(Calendario!F8="CL";"🟤 ANNA(CL)";""),IF(Calendario!F8="FV";"🟡 ANNA(FV)";""),IF(Calendario!F8="TM";"🔵 ANNA(TM)";""),IF(Calendario!F8="TN";"🟣 ANNA(TN)";""),IF(Calendario!F8="TT";"🟠 ANNA(TT)";""),IF(Calendario!G8="";"🟢 PEPE";""),IF(Calendario!G8="CL";"🟤 PEPE(CL)";""),IF(Calendario!G8="FV";"🟡 PEPE(FV)";""),IF(Calendario!G8="TM";"🔵 PEPE(TM)";""),IF(Calendario!G8="TN";"🟣 PEPE(TN)";""),IF(Calendario!G8="TT";"🟠 PEPE(TT)";""),IF(Calendario!H8="";"🟢 IVAN";""),IF(Calendario!H8="CL";"🟤 IVAN(CL)";""),IF(Calendario!H8="FV";"🟡 IVAN(FV)";""),IF(Calendario!H8="TM";"🔵 IVAN(TM)";""),IF(Calendario!H8="TN";"🟣 IVAN(TN)";""),IF(Calendario!H8="TT";"🟠 IVAN(TT)";""),IF(Calendario!I8="";"🟢 YERAY";""),IF(Calendario!I8="CL";"🟤 YERAY(CL)";""),IF(Calendario!I8="FV";"🟡 YERAY(FV)";""),IF(Calendario!I8="TM";"🔵 YERAY(TM)";""),IF(Calendario!I8="TN";"🟣 YERAY(TN)";""),IF(Calendario!I8="TT";"🟠 YERAY(TT)";""))</f>
        <v/>
      </c>
      <c r="B4" s="47">
        <f>TEXTJOIN(CHAR(10);TRUE;TEXT(Calendario!A9,"DD"),IF(Calendario!C9="";"🟢 RESI";""),IF(Calendario!C9="CL";"🟤 RESI(CL)";""),IF(Calendario!C9="FV";"🟡 RESI(FV)";""),IF(Calendario!C9="TM";"🔵 RESI(TM)";""),IF(Calendario!C9="TN";"🟣 RESI(TN)";""),IF(Calendario!C9="TT";"🟠 RESI(TT)";""),IF(Calendario!D9="";"🟢 OSCAR";""),IF(Calendario!D9="CL";"🟤 OSCAR(CL)";""),IF(Calendario!D9="FV";"🟡 OSCAR(FV)";""),IF(Calendario!D9="TM";"🔵 OSCAR(TM)";""),IF(Calendario!D9="TN";"🟣 OSCAR(TN)";""),IF(Calendario!D9="TT";"🟠 OSCAR(TT)";""),IF(Calendario!E9="";"🟢 CLARA";""),IF(Calendario!E9="CL";"🟤 CLARA(CL)";""),IF(Calendario!E9="FV";"🟡 CLARA(FV)";""),IF(Calendario!E9="TM";"🔵 CLARA(TM)";""),IF(Calendario!E9="TN";"🟣 CLARA(TN)";""),IF(Calendario!E9="TT";"🟠 CLARA(TT)";""),IF(Calendario!F9="";"🟢 ANNA";""),IF(Calendario!F9="CL";"🟤 ANNA(CL)";""),IF(Calendario!F9="FV";"🟡 ANNA(FV)";""),IF(Calendario!F9="TM";"🔵 ANNA(TM)";""),IF(Calendario!F9="TN";"🟣 ANNA(TN)";""),IF(Calendario!F9="TT";"🟠 ANNA(TT)";""),IF(Calendario!G9="";"🟢 PEPE";""),IF(Calendario!G9="CL";"🟤 PEPE(CL)";""),IF(Calendario!G9="FV";"🟡 PEPE(FV)";""),IF(Calendario!G9="TM";"🔵 PEPE(TM)";""),IF(Calendario!G9="TN";"🟣 PEPE(TN)";""),IF(Calendario!G9="TT";"🟠 PEPE(TT)";""),IF(Calendario!H9="";"🟢 IVAN";""),IF(Calendario!H9="CL";"🟤 IVAN(CL)";""),IF(Calendario!H9="FV";"🟡 IVAN(FV)";""),IF(Calendario!H9="TM";"🔵 IVAN(TM)";""),IF(Calendario!H9="TN";"🟣 IVAN(TN)";""),IF(Calendario!H9="TT";"🟠 IVAN(TT)";""),IF(Calendario!I9="";"🟢 YERAY";""),IF(Calendario!I9="CL";"🟤 YERAY(CL)";""),IF(Calendario!I9="FV";"🟡 YERAY(FV)";""),IF(Calendario!I9="TM";"🔵 YERAY(TM)";""),IF(Calendario!I9="TN";"🟣 YERAY(TN)";""),IF(Calendario!I9="TT";"🟠 YERAY(TT)";""))</f>
        <v/>
      </c>
      <c r="C4" s="47">
        <f>TEXTJOIN(CHAR(10);TRUE;TEXT(Calendario!A10,"DD"),IF(Calendario!C10="";"🟢 RESI";""),IF(Calendario!C10="CL";"🟤 RESI(CL)";""),IF(Calendario!C10="FV";"🟡 RESI(FV)";""),IF(Calendario!C10="TM";"🔵 RESI(TM)";""),IF(Calendario!C10="TN";"🟣 RESI(TN)";""),IF(Calendario!C10="TT";"🟠 RESI(TT)";""),IF(Calendario!D10="";"🟢 OSCAR";""),IF(Calendario!D10="CL";"🟤 OSCAR(CL)";""),IF(Calendario!D10="FV";"🟡 OSCAR(FV)";""),IF(Calendario!D10="TM";"🔵 OSCAR(TM)";""),IF(Calendario!D10="TN";"🟣 OSCAR(TN)";""),IF(Calendario!D10="TT";"🟠 OSCAR(TT)";""),IF(Calendario!E10="";"🟢 CLARA";""),IF(Calendario!E10="CL";"🟤 CLARA(CL)";""),IF(Calendario!E10="FV";"🟡 CLARA(FV)";""),IF(Calendario!E10="TM";"🔵 CLARA(TM)";""),IF(Calendario!E10="TN";"🟣 CLARA(TN)";""),IF(Calendario!E10="TT";"🟠 CLARA(TT)";""),IF(Calendario!F10="";"🟢 ANNA";""),IF(Calendario!F10="CL";"🟤 ANNA(CL)";""),IF(Calendario!F10="FV";"🟡 ANNA(FV)";""),IF(Calendario!F10="TM";"🔵 ANNA(TM)";""),IF(Calendario!F10="TN";"🟣 ANNA(TN)";""),IF(Calendario!F10="TT";"🟠 ANNA(TT)";""),IF(Calendario!G10="";"🟢 PEPE";""),IF(Calendario!G10="CL";"🟤 PEPE(CL)";""),IF(Calendario!G10="FV";"🟡 PEPE(FV)";""),IF(Calendario!G10="TM";"🔵 PEPE(TM)";""),IF(Calendario!G10="TN";"🟣 PEPE(TN)";""),IF(Calendario!G10="TT";"🟠 PEPE(TT)";""),IF(Calendario!H10="";"🟢 IVAN";""),IF(Calendario!H10="CL";"🟤 IVAN(CL)";""),IF(Calendario!H10="FV";"🟡 IVAN(FV)";""),IF(Calendario!H10="TM";"🔵 IVAN(TM)";""),IF(Calendario!H10="TN";"🟣 IVAN(TN)";""),IF(Calendario!H10="TT";"🟠 IVAN(TT)";""),IF(Calendario!I10="";"🟢 YERAY";""),IF(Calendario!I10="CL";"🟤 YERAY(CL)";""),IF(Calendario!I10="FV";"🟡 YERAY(FV)";""),IF(Calendario!I10="TM";"🔵 YERAY(TM)";""),IF(Calendario!I10="TN";"🟣 YERAY(TN)";""),IF(Calendario!I10="TT";"🟠 YERAY(TT)";""))</f>
        <v/>
      </c>
      <c r="D4" s="47">
        <f>TEXTJOIN(CHAR(10);TRUE;TEXT(Calendario!A11,"DD"),IF(Calendario!C11="";"🟢 RESI";""),IF(Calendario!C11="CL";"🟤 RESI(CL)";""),IF(Calendario!C11="FV";"🟡 RESI(FV)";""),IF(Calendario!C11="TM";"🔵 RESI(TM)";""),IF(Calendario!C11="TN";"🟣 RESI(TN)";""),IF(Calendario!C11="TT";"🟠 RESI(TT)";""),IF(Calendario!D11="";"🟢 OSCAR";""),IF(Calendario!D11="CL";"🟤 OSCAR(CL)";""),IF(Calendario!D11="FV";"🟡 OSCAR(FV)";""),IF(Calendario!D11="TM";"🔵 OSCAR(TM)";""),IF(Calendario!D11="TN";"🟣 OSCAR(TN)";""),IF(Calendario!D11="TT";"🟠 OSCAR(TT)";""),IF(Calendario!E11="";"🟢 CLARA";""),IF(Calendario!E11="CL";"🟤 CLARA(CL)";""),IF(Calendario!E11="FV";"🟡 CLARA(FV)";""),IF(Calendario!E11="TM";"🔵 CLARA(TM)";""),IF(Calendario!E11="TN";"🟣 CLARA(TN)";""),IF(Calendario!E11="TT";"🟠 CLARA(TT)";""),IF(Calendario!F11="";"🟢 ANNA";""),IF(Calendario!F11="CL";"🟤 ANNA(CL)";""),IF(Calendario!F11="FV";"🟡 ANNA(FV)";""),IF(Calendario!F11="TM";"🔵 ANNA(TM)";""),IF(Calendario!F11="TN";"🟣 ANNA(TN)";""),IF(Calendario!F11="TT";"🟠 ANNA(TT)";""),IF(Calendario!G11="";"🟢 PEPE";""),IF(Calendario!G11="CL";"🟤 PEPE(CL)";""),IF(Calendario!G11="FV";"🟡 PEPE(FV)";""),IF(Calendario!G11="TM";"🔵 PEPE(TM)";""),IF(Calendario!G11="TN";"🟣 PEPE(TN)";""),IF(Calendario!G11="TT";"🟠 PEPE(TT)";""),IF(Calendario!H11="";"🟢 IVAN";""),IF(Calendario!H11="CL";"🟤 IVAN(CL)";""),IF(Calendario!H11="FV";"🟡 IVAN(FV)";""),IF(Calendario!H11="TM";"🔵 IVAN(TM)";""),IF(Calendario!H11="TN";"🟣 IVAN(TN)";""),IF(Calendario!H11="TT";"🟠 IVAN(TT)";""),IF(Calendario!I11="";"🟢 YERAY";""),IF(Calendario!I11="CL";"🟤 YERAY(CL)";""),IF(Calendario!I11="FV";"🟡 YERAY(FV)";""),IF(Calendario!I11="TM";"🔵 YERAY(TM)";""),IF(Calendario!I11="TN";"🟣 YERAY(TN)";""),IF(Calendario!I11="TT";"🟠 YERAY(TT)";""))</f>
        <v/>
      </c>
      <c r="E4" s="47">
        <f>TEXTJOIN(CHAR(10);TRUE;TEXT(Calendario!A12,"DD"),IF(Calendario!C12="";"🟢 RESI";""),IF(Calendario!C12="CL";"🟤 RESI(CL)";""),IF(Calendario!C12="FV";"🟡 RESI(FV)";""),IF(Calendario!C12="TM";"🔵 RESI(TM)";""),IF(Calendario!C12="TN";"🟣 RESI(TN)";""),IF(Calendario!C12="TT";"🟠 RESI(TT)";""),IF(Calendario!D12="";"🟢 OSCAR";""),IF(Calendario!D12="CL";"🟤 OSCAR(CL)";""),IF(Calendario!D12="FV";"🟡 OSCAR(FV)";""),IF(Calendario!D12="TM";"🔵 OSCAR(TM)";""),IF(Calendario!D12="TN";"🟣 OSCAR(TN)";""),IF(Calendario!D12="TT";"🟠 OSCAR(TT)";""),IF(Calendario!E12="";"🟢 CLARA";""),IF(Calendario!E12="CL";"🟤 CLARA(CL)";""),IF(Calendario!E12="FV";"🟡 CLARA(FV)";""),IF(Calendario!E12="TM";"🔵 CLARA(TM)";""),IF(Calendario!E12="TN";"🟣 CLARA(TN)";""),IF(Calendario!E12="TT";"🟠 CLARA(TT)";""),IF(Calendario!F12="";"🟢 ANNA";""),IF(Calendario!F12="CL";"🟤 ANNA(CL)";""),IF(Calendario!F12="FV";"🟡 ANNA(FV)";""),IF(Calendario!F12="TM";"🔵 ANNA(TM)";""),IF(Calendario!F12="TN";"🟣 ANNA(TN)";""),IF(Calendario!F12="TT";"🟠 ANNA(TT)";""),IF(Calendario!G12="";"🟢 PEPE";""),IF(Calendario!G12="CL";"🟤 PEPE(CL)";""),IF(Calendario!G12="FV";"🟡 PEPE(FV)";""),IF(Calendario!G12="TM";"🔵 PEPE(TM)";""),IF(Calendario!G12="TN";"🟣 PEPE(TN)";""),IF(Calendario!G12="TT";"🟠 PEPE(TT)";""),IF(Calendario!H12="";"🟢 IVAN";""),IF(Calendario!H12="CL";"🟤 IVAN(CL)";""),IF(Calendario!H12="FV";"🟡 IVAN(FV)";""),IF(Calendario!H12="TM";"🔵 IVAN(TM)";""),IF(Calendario!H12="TN";"🟣 IVAN(TN)";""),IF(Calendario!H12="TT";"🟠 IVAN(TT)";""),IF(Calendario!I12="";"🟢 YERAY";""),IF(Calendario!I12="CL";"🟤 YERAY(CL)";""),IF(Calendario!I12="FV";"🟡 YERAY(FV)";""),IF(Calendario!I12="TM";"🔵 YERAY(TM)";""),IF(Calendario!I12="TN";"🟣 YERAY(TN)";""),IF(Calendario!I12="TT";"🟠 YERAY(TT)";""))</f>
        <v/>
      </c>
      <c r="F4" s="48">
        <f>TEXTJOIN(CHAR(10);TRUE;TEXT(Calendario!A13,"DD"),IF(Calendario!C13="";"🟢 RESI";""),IF(Calendario!C13="CL";"🟤 RESI(CL)";""),IF(Calendario!C13="FV";"🟡 RESI(FV)";""),IF(Calendario!C13="TM";"🔵 RESI(TM)";""),IF(Calendario!C13="TN";"🟣 RESI(TN)";""),IF(Calendario!C13="TT";"🟠 RESI(TT)";""),IF(Calendario!D13="";"🟢 OSCAR";""),IF(Calendario!D13="CL";"🟤 OSCAR(CL)";""),IF(Calendario!D13="FV";"🟡 OSCAR(FV)";""),IF(Calendario!D13="TM";"🔵 OSCAR(TM)";""),IF(Calendario!D13="TN";"🟣 OSCAR(TN)";""),IF(Calendario!D13="TT";"🟠 OSCAR(TT)";""),IF(Calendario!E13="";"🟢 CLARA";""),IF(Calendario!E13="CL";"🟤 CLARA(CL)";""),IF(Calendario!E13="FV";"🟡 CLARA(FV)";""),IF(Calendario!E13="TM";"🔵 CLARA(TM)";""),IF(Calendario!E13="TN";"🟣 CLARA(TN)";""),IF(Calendario!E13="TT";"🟠 CLARA(TT)";""),IF(Calendario!F13="";"🟢 ANNA";""),IF(Calendario!F13="CL";"🟤 ANNA(CL)";""),IF(Calendario!F13="FV";"🟡 ANNA(FV)";""),IF(Calendario!F13="TM";"🔵 ANNA(TM)";""),IF(Calendario!F13="TN";"🟣 ANNA(TN)";""),IF(Calendario!F13="TT";"🟠 ANNA(TT)";""),IF(Calendario!G13="";"🟢 PEPE";""),IF(Calendario!G13="CL";"🟤 PEPE(CL)";""),IF(Calendario!G13="FV";"🟡 PEPE(FV)";""),IF(Calendario!G13="TM";"🔵 PEPE(TM)";""),IF(Calendario!G13="TN";"🟣 PEPE(TN)";""),IF(Calendario!G13="TT";"🟠 PEPE(TT)";""),IF(Calendario!H13="";"🟢 IVAN";""),IF(Calendario!H13="CL";"🟤 IVAN(CL)";""),IF(Calendario!H13="FV";"🟡 IVAN(FV)";""),IF(Calendario!H13="TM";"🔵 IVAN(TM)";""),IF(Calendario!H13="TN";"🟣 IVAN(TN)";""),IF(Calendario!H13="TT";"🟠 IVAN(TT)";""),IF(Calendario!I13="";"🟢 YERAY";""),IF(Calendario!I13="CL";"🟤 YERAY(CL)";""),IF(Calendario!I13="FV";"🟡 YERAY(FV)";""),IF(Calendario!I13="TM";"🔵 YERAY(TM)";""),IF(Calendario!I13="TN";"🟣 YERAY(TN)";""),IF(Calendario!I13="TT";"🟠 YERAY(TT)";""))</f>
        <v/>
      </c>
      <c r="G4" s="48">
        <f>TEXTJOIN(CHAR(10);TRUE;TEXT(Calendario!A14,"DD"),IF(Calendario!C14="";"🟢 RESI";""),IF(Calendario!C14="CL";"🟤 RESI(CL)";""),IF(Calendario!C14="FV";"🟡 RESI(FV)";""),IF(Calendario!C14="TM";"🔵 RESI(TM)";""),IF(Calendario!C14="TN";"🟣 RESI(TN)";""),IF(Calendario!C14="TT";"🟠 RESI(TT)";""),IF(Calendario!D14="";"🟢 OSCAR";""),IF(Calendario!D14="CL";"🟤 OSCAR(CL)";""),IF(Calendario!D14="FV";"🟡 OSCAR(FV)";""),IF(Calendario!D14="TM";"🔵 OSCAR(TM)";""),IF(Calendario!D14="TN";"🟣 OSCAR(TN)";""),IF(Calendario!D14="TT";"🟠 OSCAR(TT)";""),IF(Calendario!E14="";"🟢 CLARA";""),IF(Calendario!E14="CL";"🟤 CLARA(CL)";""),IF(Calendario!E14="FV";"🟡 CLARA(FV)";""),IF(Calendario!E14="TM";"🔵 CLARA(TM)";""),IF(Calendario!E14="TN";"🟣 CLARA(TN)";""),IF(Calendario!E14="TT";"🟠 CLARA(TT)";""),IF(Calendario!F14="";"🟢 ANNA";""),IF(Calendario!F14="CL";"🟤 ANNA(CL)";""),IF(Calendario!F14="FV";"🟡 ANNA(FV)";""),IF(Calendario!F14="TM";"🔵 ANNA(TM)";""),IF(Calendario!F14="TN";"🟣 ANNA(TN)";""),IF(Calendario!F14="TT";"🟠 ANNA(TT)";""),IF(Calendario!G14="";"🟢 PEPE";""),IF(Calendario!G14="CL";"🟤 PEPE(CL)";""),IF(Calendario!G14="FV";"🟡 PEPE(FV)";""),IF(Calendario!G14="TM";"🔵 PEPE(TM)";""),IF(Calendario!G14="TN";"🟣 PEPE(TN)";""),IF(Calendario!G14="TT";"🟠 PEPE(TT)";""),IF(Calendario!H14="";"🟢 IVAN";""),IF(Calendario!H14="CL";"🟤 IVAN(CL)";""),IF(Calendario!H14="FV";"🟡 IVAN(FV)";""),IF(Calendario!H14="TM";"🔵 IVAN(TM)";""),IF(Calendario!H14="TN";"🟣 IVAN(TN)";""),IF(Calendario!H14="TT";"🟠 IVAN(TT)";""),IF(Calendario!I14="";"🟢 YERAY";""),IF(Calendario!I14="CL";"🟤 YERAY(CL)";""),IF(Calendario!I14="FV";"🟡 YERAY(FV)";""),IF(Calendario!I14="TM";"🔵 YERAY(TM)";""),IF(Calendario!I14="TN";"🟣 YERAY(TN)";""),IF(Calendario!I14="TT";"🟠 YERAY(TT)";""))</f>
        <v/>
      </c>
    </row>
    <row r="5" ht="130" customHeight="1">
      <c r="A5" s="47">
        <f>TEXTJOIN(CHAR(10);TRUE;TEXT(Calendario!A15,"DD"),IF(Calendario!C15="";"🟢 RESI";""),IF(Calendario!C15="CL";"🟤 RESI(CL)";""),IF(Calendario!C15="FV";"🟡 RESI(FV)";""),IF(Calendario!C15="TM";"🔵 RESI(TM)";""),IF(Calendario!C15="TN";"🟣 RESI(TN)";""),IF(Calendario!C15="TT";"🟠 RESI(TT)";""),IF(Calendario!D15="";"🟢 OSCAR";""),IF(Calendario!D15="CL";"🟤 OSCAR(CL)";""),IF(Calendario!D15="FV";"🟡 OSCAR(FV)";""),IF(Calendario!D15="TM";"🔵 OSCAR(TM)";""),IF(Calendario!D15="TN";"🟣 OSCAR(TN)";""),IF(Calendario!D15="TT";"🟠 OSCAR(TT)";""),IF(Calendario!E15="";"🟢 CLARA";""),IF(Calendario!E15="CL";"🟤 CLARA(CL)";""),IF(Calendario!E15="FV";"🟡 CLARA(FV)";""),IF(Calendario!E15="TM";"🔵 CLARA(TM)";""),IF(Calendario!E15="TN";"🟣 CLARA(TN)";""),IF(Calendario!E15="TT";"🟠 CLARA(TT)";""),IF(Calendario!F15="";"🟢 ANNA";""),IF(Calendario!F15="CL";"🟤 ANNA(CL)";""),IF(Calendario!F15="FV";"🟡 ANNA(FV)";""),IF(Calendario!F15="TM";"🔵 ANNA(TM)";""),IF(Calendario!F15="TN";"🟣 ANNA(TN)";""),IF(Calendario!F15="TT";"🟠 ANNA(TT)";""),IF(Calendario!G15="";"🟢 PEPE";""),IF(Calendario!G15="CL";"🟤 PEPE(CL)";""),IF(Calendario!G15="FV";"🟡 PEPE(FV)";""),IF(Calendario!G15="TM";"🔵 PEPE(TM)";""),IF(Calendario!G15="TN";"🟣 PEPE(TN)";""),IF(Calendario!G15="TT";"🟠 PEPE(TT)";""),IF(Calendario!H15="";"🟢 IVAN";""),IF(Calendario!H15="CL";"🟤 IVAN(CL)";""),IF(Calendario!H15="FV";"🟡 IVAN(FV)";""),IF(Calendario!H15="TM";"🔵 IVAN(TM)";""),IF(Calendario!H15="TN";"🟣 IVAN(TN)";""),IF(Calendario!H15="TT";"🟠 IVAN(TT)";""),IF(Calendario!I15="";"🟢 YERAY";""),IF(Calendario!I15="CL";"🟤 YERAY(CL)";""),IF(Calendario!I15="FV";"🟡 YERAY(FV)";""),IF(Calendario!I15="TM";"🔵 YERAY(TM)";""),IF(Calendario!I15="TN";"🟣 YERAY(TN)";""),IF(Calendario!I15="TT";"🟠 YERAY(TT)";""))</f>
        <v/>
      </c>
      <c r="B5" s="47">
        <f>TEXTJOIN(CHAR(10);TRUE;TEXT(Calendario!A16,"DD"),IF(Calendario!C16="";"🟢 RESI";""),IF(Calendario!C16="CL";"🟤 RESI(CL)";""),IF(Calendario!C16="FV";"🟡 RESI(FV)";""),IF(Calendario!C16="TM";"🔵 RESI(TM)";""),IF(Calendario!C16="TN";"🟣 RESI(TN)";""),IF(Calendario!C16="TT";"🟠 RESI(TT)";""),IF(Calendario!D16="";"🟢 OSCAR";""),IF(Calendario!D16="CL";"🟤 OSCAR(CL)";""),IF(Calendario!D16="FV";"🟡 OSCAR(FV)";""),IF(Calendario!D16="TM";"🔵 OSCAR(TM)";""),IF(Calendario!D16="TN";"🟣 OSCAR(TN)";""),IF(Calendario!D16="TT";"🟠 OSCAR(TT)";""),IF(Calendario!E16="";"🟢 CLARA";""),IF(Calendario!E16="CL";"🟤 CLARA(CL)";""),IF(Calendario!E16="FV";"🟡 CLARA(FV)";""),IF(Calendario!E16="TM";"🔵 CLARA(TM)";""),IF(Calendario!E16="TN";"🟣 CLARA(TN)";""),IF(Calendario!E16="TT";"🟠 CLARA(TT)";""),IF(Calendario!F16="";"🟢 ANNA";""),IF(Calendario!F16="CL";"🟤 ANNA(CL)";""),IF(Calendario!F16="FV";"🟡 ANNA(FV)";""),IF(Calendario!F16="TM";"🔵 ANNA(TM)";""),IF(Calendario!F16="TN";"🟣 ANNA(TN)";""),IF(Calendario!F16="TT";"🟠 ANNA(TT)";""),IF(Calendario!G16="";"🟢 PEPE";""),IF(Calendario!G16="CL";"🟤 PEPE(CL)";""),IF(Calendario!G16="FV";"🟡 PEPE(FV)";""),IF(Calendario!G16="TM";"🔵 PEPE(TM)";""),IF(Calendario!G16="TN";"🟣 PEPE(TN)";""),IF(Calendario!G16="TT";"🟠 PEPE(TT)";""),IF(Calendario!H16="";"🟢 IVAN";""),IF(Calendario!H16="CL";"🟤 IVAN(CL)";""),IF(Calendario!H16="FV";"🟡 IVAN(FV)";""),IF(Calendario!H16="TM";"🔵 IVAN(TM)";""),IF(Calendario!H16="TN";"🟣 IVAN(TN)";""),IF(Calendario!H16="TT";"🟠 IVAN(TT)";""),IF(Calendario!I16="";"🟢 YERAY";""),IF(Calendario!I16="CL";"🟤 YERAY(CL)";""),IF(Calendario!I16="FV";"🟡 YERAY(FV)";""),IF(Calendario!I16="TM";"🔵 YERAY(TM)";""),IF(Calendario!I16="TN";"🟣 YERAY(TN)";""),IF(Calendario!I16="TT";"🟠 YERAY(TT)";""))</f>
        <v/>
      </c>
      <c r="C5" s="47">
        <f>TEXTJOIN(CHAR(10);TRUE;TEXT(Calendario!A17,"DD"),IF(Calendario!C17="";"🟢 RESI";""),IF(Calendario!C17="CL";"🟤 RESI(CL)";""),IF(Calendario!C17="FV";"🟡 RESI(FV)";""),IF(Calendario!C17="TM";"🔵 RESI(TM)";""),IF(Calendario!C17="TN";"🟣 RESI(TN)";""),IF(Calendario!C17="TT";"🟠 RESI(TT)";""),IF(Calendario!D17="";"🟢 OSCAR";""),IF(Calendario!D17="CL";"🟤 OSCAR(CL)";""),IF(Calendario!D17="FV";"🟡 OSCAR(FV)";""),IF(Calendario!D17="TM";"🔵 OSCAR(TM)";""),IF(Calendario!D17="TN";"🟣 OSCAR(TN)";""),IF(Calendario!D17="TT";"🟠 OSCAR(TT)";""),IF(Calendario!E17="";"🟢 CLARA";""),IF(Calendario!E17="CL";"🟤 CLARA(CL)";""),IF(Calendario!E17="FV";"🟡 CLARA(FV)";""),IF(Calendario!E17="TM";"🔵 CLARA(TM)";""),IF(Calendario!E17="TN";"🟣 CLARA(TN)";""),IF(Calendario!E17="TT";"🟠 CLARA(TT)";""),IF(Calendario!F17="";"🟢 ANNA";""),IF(Calendario!F17="CL";"🟤 ANNA(CL)";""),IF(Calendario!F17="FV";"🟡 ANNA(FV)";""),IF(Calendario!F17="TM";"🔵 ANNA(TM)";""),IF(Calendario!F17="TN";"🟣 ANNA(TN)";""),IF(Calendario!F17="TT";"🟠 ANNA(TT)";""),IF(Calendario!G17="";"🟢 PEPE";""),IF(Calendario!G17="CL";"🟤 PEPE(CL)";""),IF(Calendario!G17="FV";"🟡 PEPE(FV)";""),IF(Calendario!G17="TM";"🔵 PEPE(TM)";""),IF(Calendario!G17="TN";"🟣 PEPE(TN)";""),IF(Calendario!G17="TT";"🟠 PEPE(TT)";""),IF(Calendario!H17="";"🟢 IVAN";""),IF(Calendario!H17="CL";"🟤 IVAN(CL)";""),IF(Calendario!H17="FV";"🟡 IVAN(FV)";""),IF(Calendario!H17="TM";"🔵 IVAN(TM)";""),IF(Calendario!H17="TN";"🟣 IVAN(TN)";""),IF(Calendario!H17="TT";"🟠 IVAN(TT)";""),IF(Calendario!I17="";"🟢 YERAY";""),IF(Calendario!I17="CL";"🟤 YERAY(CL)";""),IF(Calendario!I17="FV";"🟡 YERAY(FV)";""),IF(Calendario!I17="TM";"🔵 YERAY(TM)";""),IF(Calendario!I17="TN";"🟣 YERAY(TN)";""),IF(Calendario!I17="TT";"🟠 YERAY(TT)";""))</f>
        <v/>
      </c>
      <c r="D5" s="47">
        <f>TEXTJOIN(CHAR(10);TRUE;TEXT(Calendario!A18,"DD"),IF(Calendario!C18="";"🟢 RESI";""),IF(Calendario!C18="CL";"🟤 RESI(CL)";""),IF(Calendario!C18="FV";"🟡 RESI(FV)";""),IF(Calendario!C18="TM";"🔵 RESI(TM)";""),IF(Calendario!C18="TN";"🟣 RESI(TN)";""),IF(Calendario!C18="TT";"🟠 RESI(TT)";""),IF(Calendario!D18="";"🟢 OSCAR";""),IF(Calendario!D18="CL";"🟤 OSCAR(CL)";""),IF(Calendario!D18="FV";"🟡 OSCAR(FV)";""),IF(Calendario!D18="TM";"🔵 OSCAR(TM)";""),IF(Calendario!D18="TN";"🟣 OSCAR(TN)";""),IF(Calendario!D18="TT";"🟠 OSCAR(TT)";""),IF(Calendario!E18="";"🟢 CLARA";""),IF(Calendario!E18="CL";"🟤 CLARA(CL)";""),IF(Calendario!E18="FV";"🟡 CLARA(FV)";""),IF(Calendario!E18="TM";"🔵 CLARA(TM)";""),IF(Calendario!E18="TN";"🟣 CLARA(TN)";""),IF(Calendario!E18="TT";"🟠 CLARA(TT)";""),IF(Calendario!F18="";"🟢 ANNA";""),IF(Calendario!F18="CL";"🟤 ANNA(CL)";""),IF(Calendario!F18="FV";"🟡 ANNA(FV)";""),IF(Calendario!F18="TM";"🔵 ANNA(TM)";""),IF(Calendario!F18="TN";"🟣 ANNA(TN)";""),IF(Calendario!F18="TT";"🟠 ANNA(TT)";""),IF(Calendario!G18="";"🟢 PEPE";""),IF(Calendario!G18="CL";"🟤 PEPE(CL)";""),IF(Calendario!G18="FV";"🟡 PEPE(FV)";""),IF(Calendario!G18="TM";"🔵 PEPE(TM)";""),IF(Calendario!G18="TN";"🟣 PEPE(TN)";""),IF(Calendario!G18="TT";"🟠 PEPE(TT)";""),IF(Calendario!H18="";"🟢 IVAN";""),IF(Calendario!H18="CL";"🟤 IVAN(CL)";""),IF(Calendario!H18="FV";"🟡 IVAN(FV)";""),IF(Calendario!H18="TM";"🔵 IVAN(TM)";""),IF(Calendario!H18="TN";"🟣 IVAN(TN)";""),IF(Calendario!H18="TT";"🟠 IVAN(TT)";""),IF(Calendario!I18="";"🟢 YERAY";""),IF(Calendario!I18="CL";"🟤 YERAY(CL)";""),IF(Calendario!I18="FV";"🟡 YERAY(FV)";""),IF(Calendario!I18="TM";"🔵 YERAY(TM)";""),IF(Calendario!I18="TN";"🟣 YERAY(TN)";""),IF(Calendario!I18="TT";"🟠 YERAY(TT)";""))</f>
        <v/>
      </c>
      <c r="E5" s="47">
        <f>TEXTJOIN(CHAR(10);TRUE;TEXT(Calendario!A19,"DD"),IF(Calendario!C19="";"🟢 RESI";""),IF(Calendario!C19="CL";"🟤 RESI(CL)";""),IF(Calendario!C19="FV";"🟡 RESI(FV)";""),IF(Calendario!C19="TM";"🔵 RESI(TM)";""),IF(Calendario!C19="TN";"🟣 RESI(TN)";""),IF(Calendario!C19="TT";"🟠 RESI(TT)";""),IF(Calendario!D19="";"🟢 OSCAR";""),IF(Calendario!D19="CL";"🟤 OSCAR(CL)";""),IF(Calendario!D19="FV";"🟡 OSCAR(FV)";""),IF(Calendario!D19="TM";"🔵 OSCAR(TM)";""),IF(Calendario!D19="TN";"🟣 OSCAR(TN)";""),IF(Calendario!D19="TT";"🟠 OSCAR(TT)";""),IF(Calendario!E19="";"🟢 CLARA";""),IF(Calendario!E19="CL";"🟤 CLARA(CL)";""),IF(Calendario!E19="FV";"🟡 CLARA(FV)";""),IF(Calendario!E19="TM";"🔵 CLARA(TM)";""),IF(Calendario!E19="TN";"🟣 CLARA(TN)";""),IF(Calendario!E19="TT";"🟠 CLARA(TT)";""),IF(Calendario!F19="";"🟢 ANNA";""),IF(Calendario!F19="CL";"🟤 ANNA(CL)";""),IF(Calendario!F19="FV";"🟡 ANNA(FV)";""),IF(Calendario!F19="TM";"🔵 ANNA(TM)";""),IF(Calendario!F19="TN";"🟣 ANNA(TN)";""),IF(Calendario!F19="TT";"🟠 ANNA(TT)";""),IF(Calendario!G19="";"🟢 PEPE";""),IF(Calendario!G19="CL";"🟤 PEPE(CL)";""),IF(Calendario!G19="FV";"🟡 PEPE(FV)";""),IF(Calendario!G19="TM";"🔵 PEPE(TM)";""),IF(Calendario!G19="TN";"🟣 PEPE(TN)";""),IF(Calendario!G19="TT";"🟠 PEPE(TT)";""),IF(Calendario!H19="";"🟢 IVAN";""),IF(Calendario!H19="CL";"🟤 IVAN(CL)";""),IF(Calendario!H19="FV";"🟡 IVAN(FV)";""),IF(Calendario!H19="TM";"🔵 IVAN(TM)";""),IF(Calendario!H19="TN";"🟣 IVAN(TN)";""),IF(Calendario!H19="TT";"🟠 IVAN(TT)";""),IF(Calendario!I19="";"🟢 YERAY";""),IF(Calendario!I19="CL";"🟤 YERAY(CL)";""),IF(Calendario!I19="FV";"🟡 YERAY(FV)";""),IF(Calendario!I19="TM";"🔵 YERAY(TM)";""),IF(Calendario!I19="TN";"🟣 YERAY(TN)";""),IF(Calendario!I19="TT";"🟠 YERAY(TT)";""))</f>
        <v/>
      </c>
      <c r="F5" s="48">
        <f>TEXTJOIN(CHAR(10);TRUE;TEXT(Calendario!A20,"DD"),IF(Calendario!C20="";"🟢 RESI";""),IF(Calendario!C20="CL";"🟤 RESI(CL)";""),IF(Calendario!C20="FV";"🟡 RESI(FV)";""),IF(Calendario!C20="TM";"🔵 RESI(TM)";""),IF(Calendario!C20="TN";"🟣 RESI(TN)";""),IF(Calendario!C20="TT";"🟠 RESI(TT)";""),IF(Calendario!D20="";"🟢 OSCAR";""),IF(Calendario!D20="CL";"🟤 OSCAR(CL)";""),IF(Calendario!D20="FV";"🟡 OSCAR(FV)";""),IF(Calendario!D20="TM";"🔵 OSCAR(TM)";""),IF(Calendario!D20="TN";"🟣 OSCAR(TN)";""),IF(Calendario!D20="TT";"🟠 OSCAR(TT)";""),IF(Calendario!E20="";"🟢 CLARA";""),IF(Calendario!E20="CL";"🟤 CLARA(CL)";""),IF(Calendario!E20="FV";"🟡 CLARA(FV)";""),IF(Calendario!E20="TM";"🔵 CLARA(TM)";""),IF(Calendario!E20="TN";"🟣 CLARA(TN)";""),IF(Calendario!E20="TT";"🟠 CLARA(TT)";""),IF(Calendario!F20="";"🟢 ANNA";""),IF(Calendario!F20="CL";"🟤 ANNA(CL)";""),IF(Calendario!F20="FV";"🟡 ANNA(FV)";""),IF(Calendario!F20="TM";"🔵 ANNA(TM)";""),IF(Calendario!F20="TN";"🟣 ANNA(TN)";""),IF(Calendario!F20="TT";"🟠 ANNA(TT)";""),IF(Calendario!G20="";"🟢 PEPE";""),IF(Calendario!G20="CL";"🟤 PEPE(CL)";""),IF(Calendario!G20="FV";"🟡 PEPE(FV)";""),IF(Calendario!G20="TM";"🔵 PEPE(TM)";""),IF(Calendario!G20="TN";"🟣 PEPE(TN)";""),IF(Calendario!G20="TT";"🟠 PEPE(TT)";""),IF(Calendario!H20="";"🟢 IVAN";""),IF(Calendario!H20="CL";"🟤 IVAN(CL)";""),IF(Calendario!H20="FV";"🟡 IVAN(FV)";""),IF(Calendario!H20="TM";"🔵 IVAN(TM)";""),IF(Calendario!H20="TN";"🟣 IVAN(TN)";""),IF(Calendario!H20="TT";"🟠 IVAN(TT)";""),IF(Calendario!I20="";"🟢 YERAY";""),IF(Calendario!I20="CL";"🟤 YERAY(CL)";""),IF(Calendario!I20="FV";"🟡 YERAY(FV)";""),IF(Calendario!I20="TM";"🔵 YERAY(TM)";""),IF(Calendario!I20="TN";"🟣 YERAY(TN)";""),IF(Calendario!I20="TT";"🟠 YERAY(TT)";""))</f>
        <v/>
      </c>
      <c r="G5" s="48">
        <f>TEXTJOIN(CHAR(10);TRUE;TEXT(Calendario!A21,"DD"),IF(Calendario!C21="";"🟢 RESI";""),IF(Calendario!C21="CL";"🟤 RESI(CL)";""),IF(Calendario!C21="FV";"🟡 RESI(FV)";""),IF(Calendario!C21="TM";"🔵 RESI(TM)";""),IF(Calendario!C21="TN";"🟣 RESI(TN)";""),IF(Calendario!C21="TT";"🟠 RESI(TT)";""),IF(Calendario!D21="";"🟢 OSCAR";""),IF(Calendario!D21="CL";"🟤 OSCAR(CL)";""),IF(Calendario!D21="FV";"🟡 OSCAR(FV)";""),IF(Calendario!D21="TM";"🔵 OSCAR(TM)";""),IF(Calendario!D21="TN";"🟣 OSCAR(TN)";""),IF(Calendario!D21="TT";"🟠 OSCAR(TT)";""),IF(Calendario!E21="";"🟢 CLARA";""),IF(Calendario!E21="CL";"🟤 CLARA(CL)";""),IF(Calendario!E21="FV";"🟡 CLARA(FV)";""),IF(Calendario!E21="TM";"🔵 CLARA(TM)";""),IF(Calendario!E21="TN";"🟣 CLARA(TN)";""),IF(Calendario!E21="TT";"🟠 CLARA(TT)";""),IF(Calendario!F21="";"🟢 ANNA";""),IF(Calendario!F21="CL";"🟤 ANNA(CL)";""),IF(Calendario!F21="FV";"🟡 ANNA(FV)";""),IF(Calendario!F21="TM";"🔵 ANNA(TM)";""),IF(Calendario!F21="TN";"🟣 ANNA(TN)";""),IF(Calendario!F21="TT";"🟠 ANNA(TT)";""),IF(Calendario!G21="";"🟢 PEPE";""),IF(Calendario!G21="CL";"🟤 PEPE(CL)";""),IF(Calendario!G21="FV";"🟡 PEPE(FV)";""),IF(Calendario!G21="TM";"🔵 PEPE(TM)";""),IF(Calendario!G21="TN";"🟣 PEPE(TN)";""),IF(Calendario!G21="TT";"🟠 PEPE(TT)";""),IF(Calendario!H21="";"🟢 IVAN";""),IF(Calendario!H21="CL";"🟤 IVAN(CL)";""),IF(Calendario!H21="FV";"🟡 IVAN(FV)";""),IF(Calendario!H21="TM";"🔵 IVAN(TM)";""),IF(Calendario!H21="TN";"🟣 IVAN(TN)";""),IF(Calendario!H21="TT";"🟠 IVAN(TT)";""),IF(Calendario!I21="";"🟢 YERAY";""),IF(Calendario!I21="CL";"🟤 YERAY(CL)";""),IF(Calendario!I21="FV";"🟡 YERAY(FV)";""),IF(Calendario!I21="TM";"🔵 YERAY(TM)";""),IF(Calendario!I21="TN";"🟣 YERAY(TN)";""),IF(Calendario!I21="TT";"🟠 YERAY(TT)";""))</f>
        <v/>
      </c>
    </row>
    <row r="6" ht="130" customHeight="1">
      <c r="A6" s="47">
        <f>TEXTJOIN(CHAR(10);TRUE;TEXT(Calendario!A22,"DD"),IF(Calendario!C22="";"🟢 RESI";""),IF(Calendario!C22="CL";"🟤 RESI(CL)";""),IF(Calendario!C22="FV";"🟡 RESI(FV)";""),IF(Calendario!C22="TM";"🔵 RESI(TM)";""),IF(Calendario!C22="TN";"🟣 RESI(TN)";""),IF(Calendario!C22="TT";"🟠 RESI(TT)";""),IF(Calendario!D22="";"🟢 OSCAR";""),IF(Calendario!D22="CL";"🟤 OSCAR(CL)";""),IF(Calendario!D22="FV";"🟡 OSCAR(FV)";""),IF(Calendario!D22="TM";"🔵 OSCAR(TM)";""),IF(Calendario!D22="TN";"🟣 OSCAR(TN)";""),IF(Calendario!D22="TT";"🟠 OSCAR(TT)";""),IF(Calendario!E22="";"🟢 CLARA";""),IF(Calendario!E22="CL";"🟤 CLARA(CL)";""),IF(Calendario!E22="FV";"🟡 CLARA(FV)";""),IF(Calendario!E22="TM";"🔵 CLARA(TM)";""),IF(Calendario!E22="TN";"🟣 CLARA(TN)";""),IF(Calendario!E22="TT";"🟠 CLARA(TT)";""),IF(Calendario!F22="";"🟢 ANNA";""),IF(Calendario!F22="CL";"🟤 ANNA(CL)";""),IF(Calendario!F22="FV";"🟡 ANNA(FV)";""),IF(Calendario!F22="TM";"🔵 ANNA(TM)";""),IF(Calendario!F22="TN";"🟣 ANNA(TN)";""),IF(Calendario!F22="TT";"🟠 ANNA(TT)";""),IF(Calendario!G22="";"🟢 PEPE";""),IF(Calendario!G22="CL";"🟤 PEPE(CL)";""),IF(Calendario!G22="FV";"🟡 PEPE(FV)";""),IF(Calendario!G22="TM";"🔵 PEPE(TM)";""),IF(Calendario!G22="TN";"🟣 PEPE(TN)";""),IF(Calendario!G22="TT";"🟠 PEPE(TT)";""),IF(Calendario!H22="";"🟢 IVAN";""),IF(Calendario!H22="CL";"🟤 IVAN(CL)";""),IF(Calendario!H22="FV";"🟡 IVAN(FV)";""),IF(Calendario!H22="TM";"🔵 IVAN(TM)";""),IF(Calendario!H22="TN";"🟣 IVAN(TN)";""),IF(Calendario!H22="TT";"🟠 IVAN(TT)";""),IF(Calendario!I22="";"🟢 YERAY";""),IF(Calendario!I22="CL";"🟤 YERAY(CL)";""),IF(Calendario!I22="FV";"🟡 YERAY(FV)";""),IF(Calendario!I22="TM";"🔵 YERAY(TM)";""),IF(Calendario!I22="TN";"🟣 YERAY(TN)";""),IF(Calendario!I22="TT";"🟠 YERAY(TT)";""))</f>
        <v/>
      </c>
      <c r="B6" s="47">
        <f>TEXTJOIN(CHAR(10);TRUE;TEXT(Calendario!A23,"DD"),IF(Calendario!C23="";"🟢 RESI";""),IF(Calendario!C23="CL";"🟤 RESI(CL)";""),IF(Calendario!C23="FV";"🟡 RESI(FV)";""),IF(Calendario!C23="TM";"🔵 RESI(TM)";""),IF(Calendario!C23="TN";"🟣 RESI(TN)";""),IF(Calendario!C23="TT";"🟠 RESI(TT)";""),IF(Calendario!D23="";"🟢 OSCAR";""),IF(Calendario!D23="CL";"🟤 OSCAR(CL)";""),IF(Calendario!D23="FV";"🟡 OSCAR(FV)";""),IF(Calendario!D23="TM";"🔵 OSCAR(TM)";""),IF(Calendario!D23="TN";"🟣 OSCAR(TN)";""),IF(Calendario!D23="TT";"🟠 OSCAR(TT)";""),IF(Calendario!E23="";"🟢 CLARA";""),IF(Calendario!E23="CL";"🟤 CLARA(CL)";""),IF(Calendario!E23="FV";"🟡 CLARA(FV)";""),IF(Calendario!E23="TM";"🔵 CLARA(TM)";""),IF(Calendario!E23="TN";"🟣 CLARA(TN)";""),IF(Calendario!E23="TT";"🟠 CLARA(TT)";""),IF(Calendario!F23="";"🟢 ANNA";""),IF(Calendario!F23="CL";"🟤 ANNA(CL)";""),IF(Calendario!F23="FV";"🟡 ANNA(FV)";""),IF(Calendario!F23="TM";"🔵 ANNA(TM)";""),IF(Calendario!F23="TN";"🟣 ANNA(TN)";""),IF(Calendario!F23="TT";"🟠 ANNA(TT)";""),IF(Calendario!G23="";"🟢 PEPE";""),IF(Calendario!G23="CL";"🟤 PEPE(CL)";""),IF(Calendario!G23="FV";"🟡 PEPE(FV)";""),IF(Calendario!G23="TM";"🔵 PEPE(TM)";""),IF(Calendario!G23="TN";"🟣 PEPE(TN)";""),IF(Calendario!G23="TT";"🟠 PEPE(TT)";""),IF(Calendario!H23="";"🟢 IVAN";""),IF(Calendario!H23="CL";"🟤 IVAN(CL)";""),IF(Calendario!H23="FV";"🟡 IVAN(FV)";""),IF(Calendario!H23="TM";"🔵 IVAN(TM)";""),IF(Calendario!H23="TN";"🟣 IVAN(TN)";""),IF(Calendario!H23="TT";"🟠 IVAN(TT)";""),IF(Calendario!I23="";"🟢 YERAY";""),IF(Calendario!I23="CL";"🟤 YERAY(CL)";""),IF(Calendario!I23="FV";"🟡 YERAY(FV)";""),IF(Calendario!I23="TM";"🔵 YERAY(TM)";""),IF(Calendario!I23="TN";"🟣 YERAY(TN)";""),IF(Calendario!I23="TT";"🟠 YERAY(TT)";""))</f>
        <v/>
      </c>
      <c r="C6" s="47">
        <f>TEXTJOIN(CHAR(10);TRUE;TEXT(Calendario!A24,"DD"),IF(Calendario!C24="";"🟢 RESI";""),IF(Calendario!C24="CL";"🟤 RESI(CL)";""),IF(Calendario!C24="FV";"🟡 RESI(FV)";""),IF(Calendario!C24="TM";"🔵 RESI(TM)";""),IF(Calendario!C24="TN";"🟣 RESI(TN)";""),IF(Calendario!C24="TT";"🟠 RESI(TT)";""),IF(Calendario!D24="";"🟢 OSCAR";""),IF(Calendario!D24="CL";"🟤 OSCAR(CL)";""),IF(Calendario!D24="FV";"🟡 OSCAR(FV)";""),IF(Calendario!D24="TM";"🔵 OSCAR(TM)";""),IF(Calendario!D24="TN";"🟣 OSCAR(TN)";""),IF(Calendario!D24="TT";"🟠 OSCAR(TT)";""),IF(Calendario!E24="";"🟢 CLARA";""),IF(Calendario!E24="CL";"🟤 CLARA(CL)";""),IF(Calendario!E24="FV";"🟡 CLARA(FV)";""),IF(Calendario!E24="TM";"🔵 CLARA(TM)";""),IF(Calendario!E24="TN";"🟣 CLARA(TN)";""),IF(Calendario!E24="TT";"🟠 CLARA(TT)";""),IF(Calendario!F24="";"🟢 ANNA";""),IF(Calendario!F24="CL";"🟤 ANNA(CL)";""),IF(Calendario!F24="FV";"🟡 ANNA(FV)";""),IF(Calendario!F24="TM";"🔵 ANNA(TM)";""),IF(Calendario!F24="TN";"🟣 ANNA(TN)";""),IF(Calendario!F24="TT";"🟠 ANNA(TT)";""),IF(Calendario!G24="";"🟢 PEPE";""),IF(Calendario!G24="CL";"🟤 PEPE(CL)";""),IF(Calendario!G24="FV";"🟡 PEPE(FV)";""),IF(Calendario!G24="TM";"🔵 PEPE(TM)";""),IF(Calendario!G24="TN";"🟣 PEPE(TN)";""),IF(Calendario!G24="TT";"🟠 PEPE(TT)";""),IF(Calendario!H24="";"🟢 IVAN";""),IF(Calendario!H24="CL";"🟤 IVAN(CL)";""),IF(Calendario!H24="FV";"🟡 IVAN(FV)";""),IF(Calendario!H24="TM";"🔵 IVAN(TM)";""),IF(Calendario!H24="TN";"🟣 IVAN(TN)";""),IF(Calendario!H24="TT";"🟠 IVAN(TT)";""),IF(Calendario!I24="";"🟢 YERAY";""),IF(Calendario!I24="CL";"🟤 YERAY(CL)";""),IF(Calendario!I24="FV";"🟡 YERAY(FV)";""),IF(Calendario!I24="TM";"🔵 YERAY(TM)";""),IF(Calendario!I24="TN";"🟣 YERAY(TN)";""),IF(Calendario!I24="TT";"🟠 YERAY(TT)";""))</f>
        <v/>
      </c>
      <c r="D6" s="47">
        <f>TEXTJOIN(CHAR(10);TRUE;TEXT(Calendario!A25,"DD"),IF(Calendario!C25="";"🟢 RESI";""),IF(Calendario!C25="CL";"🟤 RESI(CL)";""),IF(Calendario!C25="FV";"🟡 RESI(FV)";""),IF(Calendario!C25="TM";"🔵 RESI(TM)";""),IF(Calendario!C25="TN";"🟣 RESI(TN)";""),IF(Calendario!C25="TT";"🟠 RESI(TT)";""),IF(Calendario!D25="";"🟢 OSCAR";""),IF(Calendario!D25="CL";"🟤 OSCAR(CL)";""),IF(Calendario!D25="FV";"🟡 OSCAR(FV)";""),IF(Calendario!D25="TM";"🔵 OSCAR(TM)";""),IF(Calendario!D25="TN";"🟣 OSCAR(TN)";""),IF(Calendario!D25="TT";"🟠 OSCAR(TT)";""),IF(Calendario!E25="";"🟢 CLARA";""),IF(Calendario!E25="CL";"🟤 CLARA(CL)";""),IF(Calendario!E25="FV";"🟡 CLARA(FV)";""),IF(Calendario!E25="TM";"🔵 CLARA(TM)";""),IF(Calendario!E25="TN";"🟣 CLARA(TN)";""),IF(Calendario!E25="TT";"🟠 CLARA(TT)";""),IF(Calendario!F25="";"🟢 ANNA";""),IF(Calendario!F25="CL";"🟤 ANNA(CL)";""),IF(Calendario!F25="FV";"🟡 ANNA(FV)";""),IF(Calendario!F25="TM";"🔵 ANNA(TM)";""),IF(Calendario!F25="TN";"🟣 ANNA(TN)";""),IF(Calendario!F25="TT";"🟠 ANNA(TT)";""),IF(Calendario!G25="";"🟢 PEPE";""),IF(Calendario!G25="CL";"🟤 PEPE(CL)";""),IF(Calendario!G25="FV";"🟡 PEPE(FV)";""),IF(Calendario!G25="TM";"🔵 PEPE(TM)";""),IF(Calendario!G25="TN";"🟣 PEPE(TN)";""),IF(Calendario!G25="TT";"🟠 PEPE(TT)";""),IF(Calendario!H25="";"🟢 IVAN";""),IF(Calendario!H25="CL";"🟤 IVAN(CL)";""),IF(Calendario!H25="FV";"🟡 IVAN(FV)";""),IF(Calendario!H25="TM";"🔵 IVAN(TM)";""),IF(Calendario!H25="TN";"🟣 IVAN(TN)";""),IF(Calendario!H25="TT";"🟠 IVAN(TT)";""),IF(Calendario!I25="";"🟢 YERAY";""),IF(Calendario!I25="CL";"🟤 YERAY(CL)";""),IF(Calendario!I25="FV";"🟡 YERAY(FV)";""),IF(Calendario!I25="TM";"🔵 YERAY(TM)";""),IF(Calendario!I25="TN";"🟣 YERAY(TN)";""),IF(Calendario!I25="TT";"🟠 YERAY(TT)";""))</f>
        <v/>
      </c>
      <c r="E6" s="47">
        <f>TEXTJOIN(CHAR(10);TRUE;TEXT(Calendario!A26,"DD"),IF(Calendario!C26="";"🟢 RESI";""),IF(Calendario!C26="CL";"🟤 RESI(CL)";""),IF(Calendario!C26="FV";"🟡 RESI(FV)";""),IF(Calendario!C26="TM";"🔵 RESI(TM)";""),IF(Calendario!C26="TN";"🟣 RESI(TN)";""),IF(Calendario!C26="TT";"🟠 RESI(TT)";""),IF(Calendario!D26="";"🟢 OSCAR";""),IF(Calendario!D26="CL";"🟤 OSCAR(CL)";""),IF(Calendario!D26="FV";"🟡 OSCAR(FV)";""),IF(Calendario!D26="TM";"🔵 OSCAR(TM)";""),IF(Calendario!D26="TN";"🟣 OSCAR(TN)";""),IF(Calendario!D26="TT";"🟠 OSCAR(TT)";""),IF(Calendario!E26="";"🟢 CLARA";""),IF(Calendario!E26="CL";"🟤 CLARA(CL)";""),IF(Calendario!E26="FV";"🟡 CLARA(FV)";""),IF(Calendario!E26="TM";"🔵 CLARA(TM)";""),IF(Calendario!E26="TN";"🟣 CLARA(TN)";""),IF(Calendario!E26="TT";"🟠 CLARA(TT)";""),IF(Calendario!F26="";"🟢 ANNA";""),IF(Calendario!F26="CL";"🟤 ANNA(CL)";""),IF(Calendario!F26="FV";"🟡 ANNA(FV)";""),IF(Calendario!F26="TM";"🔵 ANNA(TM)";""),IF(Calendario!F26="TN";"🟣 ANNA(TN)";""),IF(Calendario!F26="TT";"🟠 ANNA(TT)";""),IF(Calendario!G26="";"🟢 PEPE";""),IF(Calendario!G26="CL";"🟤 PEPE(CL)";""),IF(Calendario!G26="FV";"🟡 PEPE(FV)";""),IF(Calendario!G26="TM";"🔵 PEPE(TM)";""),IF(Calendario!G26="TN";"🟣 PEPE(TN)";""),IF(Calendario!G26="TT";"🟠 PEPE(TT)";""),IF(Calendario!H26="";"🟢 IVAN";""),IF(Calendario!H26="CL";"🟤 IVAN(CL)";""),IF(Calendario!H26="FV";"🟡 IVAN(FV)";""),IF(Calendario!H26="TM";"🔵 IVAN(TM)";""),IF(Calendario!H26="TN";"🟣 IVAN(TN)";""),IF(Calendario!H26="TT";"🟠 IVAN(TT)";""),IF(Calendario!I26="";"🟢 YERAY";""),IF(Calendario!I26="CL";"🟤 YERAY(CL)";""),IF(Calendario!I26="FV";"🟡 YERAY(FV)";""),IF(Calendario!I26="TM";"🔵 YERAY(TM)";""),IF(Calendario!I26="TN";"🟣 YERAY(TN)";""),IF(Calendario!I26="TT";"🟠 YERAY(TT)";""))</f>
        <v/>
      </c>
      <c r="F6" s="48">
        <f>TEXTJOIN(CHAR(10);TRUE;TEXT(Calendario!A27,"DD"),IF(Calendario!C27="";"🟢 RESI";""),IF(Calendario!C27="CL";"🟤 RESI(CL)";""),IF(Calendario!C27="FV";"🟡 RESI(FV)";""),IF(Calendario!C27="TM";"🔵 RESI(TM)";""),IF(Calendario!C27="TN";"🟣 RESI(TN)";""),IF(Calendario!C27="TT";"🟠 RESI(TT)";""),IF(Calendario!D27="";"🟢 OSCAR";""),IF(Calendario!D27="CL";"🟤 OSCAR(CL)";""),IF(Calendario!D27="FV";"🟡 OSCAR(FV)";""),IF(Calendario!D27="TM";"🔵 OSCAR(TM)";""),IF(Calendario!D27="TN";"🟣 OSCAR(TN)";""),IF(Calendario!D27="TT";"🟠 OSCAR(TT)";""),IF(Calendario!E27="";"🟢 CLARA";""),IF(Calendario!E27="CL";"🟤 CLARA(CL)";""),IF(Calendario!E27="FV";"🟡 CLARA(FV)";""),IF(Calendario!E27="TM";"🔵 CLARA(TM)";""),IF(Calendario!E27="TN";"🟣 CLARA(TN)";""),IF(Calendario!E27="TT";"🟠 CLARA(TT)";""),IF(Calendario!F27="";"🟢 ANNA";""),IF(Calendario!F27="CL";"🟤 ANNA(CL)";""),IF(Calendario!F27="FV";"🟡 ANNA(FV)";""),IF(Calendario!F27="TM";"🔵 ANNA(TM)";""),IF(Calendario!F27="TN";"🟣 ANNA(TN)";""),IF(Calendario!F27="TT";"🟠 ANNA(TT)";""),IF(Calendario!G27="";"🟢 PEPE";""),IF(Calendario!G27="CL";"🟤 PEPE(CL)";""),IF(Calendario!G27="FV";"🟡 PEPE(FV)";""),IF(Calendario!G27="TM";"🔵 PEPE(TM)";""),IF(Calendario!G27="TN";"🟣 PEPE(TN)";""),IF(Calendario!G27="TT";"🟠 PEPE(TT)";""),IF(Calendario!H27="";"🟢 IVAN";""),IF(Calendario!H27="CL";"🟤 IVAN(CL)";""),IF(Calendario!H27="FV";"🟡 IVAN(FV)";""),IF(Calendario!H27="TM";"🔵 IVAN(TM)";""),IF(Calendario!H27="TN";"🟣 IVAN(TN)";""),IF(Calendario!H27="TT";"🟠 IVAN(TT)";""),IF(Calendario!I27="";"🟢 YERAY";""),IF(Calendario!I27="CL";"🟤 YERAY(CL)";""),IF(Calendario!I27="FV";"🟡 YERAY(FV)";""),IF(Calendario!I27="TM";"🔵 YERAY(TM)";""),IF(Calendario!I27="TN";"🟣 YERAY(TN)";""),IF(Calendario!I27="TT";"🟠 YERAY(TT)";""))</f>
        <v/>
      </c>
      <c r="G6" s="48">
        <f>TEXTJOIN(CHAR(10);TRUE;TEXT(Calendario!A28,"DD"),IF(Calendario!C28="";"🟢 RESI";""),IF(Calendario!C28="CL";"🟤 RESI(CL)";""),IF(Calendario!C28="FV";"🟡 RESI(FV)";""),IF(Calendario!C28="TM";"🔵 RESI(TM)";""),IF(Calendario!C28="TN";"🟣 RESI(TN)";""),IF(Calendario!C28="TT";"🟠 RESI(TT)";""),IF(Calendario!D28="";"🟢 OSCAR";""),IF(Calendario!D28="CL";"🟤 OSCAR(CL)";""),IF(Calendario!D28="FV";"🟡 OSCAR(FV)";""),IF(Calendario!D28="TM";"🔵 OSCAR(TM)";""),IF(Calendario!D28="TN";"🟣 OSCAR(TN)";""),IF(Calendario!D28="TT";"🟠 OSCAR(TT)";""),IF(Calendario!E28="";"🟢 CLARA";""),IF(Calendario!E28="CL";"🟤 CLARA(CL)";""),IF(Calendario!E28="FV";"🟡 CLARA(FV)";""),IF(Calendario!E28="TM";"🔵 CLARA(TM)";""),IF(Calendario!E28="TN";"🟣 CLARA(TN)";""),IF(Calendario!E28="TT";"🟠 CLARA(TT)";""),IF(Calendario!F28="";"🟢 ANNA";""),IF(Calendario!F28="CL";"🟤 ANNA(CL)";""),IF(Calendario!F28="FV";"🟡 ANNA(FV)";""),IF(Calendario!F28="TM";"🔵 ANNA(TM)";""),IF(Calendario!F28="TN";"🟣 ANNA(TN)";""),IF(Calendario!F28="TT";"🟠 ANNA(TT)";""),IF(Calendario!G28="";"🟢 PEPE";""),IF(Calendario!G28="CL";"🟤 PEPE(CL)";""),IF(Calendario!G28="FV";"🟡 PEPE(FV)";""),IF(Calendario!G28="TM";"🔵 PEPE(TM)";""),IF(Calendario!G28="TN";"🟣 PEPE(TN)";""),IF(Calendario!G28="TT";"🟠 PEPE(TT)";""),IF(Calendario!H28="";"🟢 IVAN";""),IF(Calendario!H28="CL";"🟤 IVAN(CL)";""),IF(Calendario!H28="FV";"🟡 IVAN(FV)";""),IF(Calendario!H28="TM";"🔵 IVAN(TM)";""),IF(Calendario!H28="TN";"🟣 IVAN(TN)";""),IF(Calendario!H28="TT";"🟠 IVAN(TT)";""),IF(Calendario!I28="";"🟢 YERAY";""),IF(Calendario!I28="CL";"🟤 YERAY(CL)";""),IF(Calendario!I28="FV";"🟡 YERAY(FV)";""),IF(Calendario!I28="TM";"🔵 YERAY(TM)";""),IF(Calendario!I28="TN";"🟣 YERAY(TN)";""),IF(Calendario!I28="TT";"🟠 YERAY(TT)";""))</f>
        <v/>
      </c>
    </row>
    <row r="7" ht="130" customHeight="1">
      <c r="A7" s="47">
        <f>TEXTJOIN(CHAR(10);TRUE;TEXT(Calendario!A29,"DD"),IF(Calendario!C29="";"🟢 RESI";""),IF(Calendario!C29="CL";"🟤 RESI(CL)";""),IF(Calendario!C29="FV";"🟡 RESI(FV)";""),IF(Calendario!C29="TM";"🔵 RESI(TM)";""),IF(Calendario!C29="TN";"🟣 RESI(TN)";""),IF(Calendario!C29="TT";"🟠 RESI(TT)";""),IF(Calendario!D29="";"🟢 OSCAR";""),IF(Calendario!D29="CL";"🟤 OSCAR(CL)";""),IF(Calendario!D29="FV";"🟡 OSCAR(FV)";""),IF(Calendario!D29="TM";"🔵 OSCAR(TM)";""),IF(Calendario!D29="TN";"🟣 OSCAR(TN)";""),IF(Calendario!D29="TT";"🟠 OSCAR(TT)";""),IF(Calendario!E29="";"🟢 CLARA";""),IF(Calendario!E29="CL";"🟤 CLARA(CL)";""),IF(Calendario!E29="FV";"🟡 CLARA(FV)";""),IF(Calendario!E29="TM";"🔵 CLARA(TM)";""),IF(Calendario!E29="TN";"🟣 CLARA(TN)";""),IF(Calendario!E29="TT";"🟠 CLARA(TT)";""),IF(Calendario!F29="";"🟢 ANNA";""),IF(Calendario!F29="CL";"🟤 ANNA(CL)";""),IF(Calendario!F29="FV";"🟡 ANNA(FV)";""),IF(Calendario!F29="TM";"🔵 ANNA(TM)";""),IF(Calendario!F29="TN";"🟣 ANNA(TN)";""),IF(Calendario!F29="TT";"🟠 ANNA(TT)";""),IF(Calendario!G29="";"🟢 PEPE";""),IF(Calendario!G29="CL";"🟤 PEPE(CL)";""),IF(Calendario!G29="FV";"🟡 PEPE(FV)";""),IF(Calendario!G29="TM";"🔵 PEPE(TM)";""),IF(Calendario!G29="TN";"🟣 PEPE(TN)";""),IF(Calendario!G29="TT";"🟠 PEPE(TT)";""),IF(Calendario!H29="";"🟢 IVAN";""),IF(Calendario!H29="CL";"🟤 IVAN(CL)";""),IF(Calendario!H29="FV";"🟡 IVAN(FV)";""),IF(Calendario!H29="TM";"🔵 IVAN(TM)";""),IF(Calendario!H29="TN";"🟣 IVAN(TN)";""),IF(Calendario!H29="TT";"🟠 IVAN(TT)";""),IF(Calendario!I29="";"🟢 YERAY";""),IF(Calendario!I29="CL";"🟤 YERAY(CL)";""),IF(Calendario!I29="FV";"🟡 YERAY(FV)";""),IF(Calendario!I29="TM";"🔵 YERAY(TM)";""),IF(Calendario!I29="TN";"🟣 YERAY(TN)";""),IF(Calendario!I29="TT";"🟠 YERAY(TT)";""))</f>
        <v/>
      </c>
      <c r="B7" s="47">
        <f>TEXTJOIN(CHAR(10);TRUE;TEXT(Calendario!A30,"DD"),IF(Calendario!C30="";"🟢 RESI";""),IF(Calendario!C30="CL";"🟤 RESI(CL)";""),IF(Calendario!C30="FV";"🟡 RESI(FV)";""),IF(Calendario!C30="TM";"🔵 RESI(TM)";""),IF(Calendario!C30="TN";"🟣 RESI(TN)";""),IF(Calendario!C30="TT";"🟠 RESI(TT)";""),IF(Calendario!D30="";"🟢 OSCAR";""),IF(Calendario!D30="CL";"🟤 OSCAR(CL)";""),IF(Calendario!D30="FV";"🟡 OSCAR(FV)";""),IF(Calendario!D30="TM";"🔵 OSCAR(TM)";""),IF(Calendario!D30="TN";"🟣 OSCAR(TN)";""),IF(Calendario!D30="TT";"🟠 OSCAR(TT)";""),IF(Calendario!E30="";"🟢 CLARA";""),IF(Calendario!E30="CL";"🟤 CLARA(CL)";""),IF(Calendario!E30="FV";"🟡 CLARA(FV)";""),IF(Calendario!E30="TM";"🔵 CLARA(TM)";""),IF(Calendario!E30="TN";"🟣 CLARA(TN)";""),IF(Calendario!E30="TT";"🟠 CLARA(TT)";""),IF(Calendario!F30="";"🟢 ANNA";""),IF(Calendario!F30="CL";"🟤 ANNA(CL)";""),IF(Calendario!F30="FV";"🟡 ANNA(FV)";""),IF(Calendario!F30="TM";"🔵 ANNA(TM)";""),IF(Calendario!F30="TN";"🟣 ANNA(TN)";""),IF(Calendario!F30="TT";"🟠 ANNA(TT)";""),IF(Calendario!G30="";"🟢 PEPE";""),IF(Calendario!G30="CL";"🟤 PEPE(CL)";""),IF(Calendario!G30="FV";"🟡 PEPE(FV)";""),IF(Calendario!G30="TM";"🔵 PEPE(TM)";""),IF(Calendario!G30="TN";"🟣 PEPE(TN)";""),IF(Calendario!G30="TT";"🟠 PEPE(TT)";""),IF(Calendario!H30="";"🟢 IVAN";""),IF(Calendario!H30="CL";"🟤 IVAN(CL)";""),IF(Calendario!H30="FV";"🟡 IVAN(FV)";""),IF(Calendario!H30="TM";"🔵 IVAN(TM)";""),IF(Calendario!H30="TN";"🟣 IVAN(TN)";""),IF(Calendario!H30="TT";"🟠 IVAN(TT)";""),IF(Calendario!I30="";"🟢 YERAY";""),IF(Calendario!I30="CL";"🟤 YERAY(CL)";""),IF(Calendario!I30="FV";"🟡 YERAY(FV)";""),IF(Calendario!I30="TM";"🔵 YERAY(TM)";""),IF(Calendario!I30="TN";"🟣 YERAY(TN)";""),IF(Calendario!I30="TT";"🟠 YERAY(TT)";""))</f>
        <v/>
      </c>
      <c r="C7" s="47">
        <f>TEXTJOIN(CHAR(10);TRUE;TEXT(Calendario!A31,"DD"),IF(Calendario!C31="";"🟢 RESI";""),IF(Calendario!C31="CL";"🟤 RESI(CL)";""),IF(Calendario!C31="FV";"🟡 RESI(FV)";""),IF(Calendario!C31="TM";"🔵 RESI(TM)";""),IF(Calendario!C31="TN";"🟣 RESI(TN)";""),IF(Calendario!C31="TT";"🟠 RESI(TT)";""),IF(Calendario!D31="";"🟢 OSCAR";""),IF(Calendario!D31="CL";"🟤 OSCAR(CL)";""),IF(Calendario!D31="FV";"🟡 OSCAR(FV)";""),IF(Calendario!D31="TM";"🔵 OSCAR(TM)";""),IF(Calendario!D31="TN";"🟣 OSCAR(TN)";""),IF(Calendario!D31="TT";"🟠 OSCAR(TT)";""),IF(Calendario!E31="";"🟢 CLARA";""),IF(Calendario!E31="CL";"🟤 CLARA(CL)";""),IF(Calendario!E31="FV";"🟡 CLARA(FV)";""),IF(Calendario!E31="TM";"🔵 CLARA(TM)";""),IF(Calendario!E31="TN";"🟣 CLARA(TN)";""),IF(Calendario!E31="TT";"🟠 CLARA(TT)";""),IF(Calendario!F31="";"🟢 ANNA";""),IF(Calendario!F31="CL";"🟤 ANNA(CL)";""),IF(Calendario!F31="FV";"🟡 ANNA(FV)";""),IF(Calendario!F31="TM";"🔵 ANNA(TM)";""),IF(Calendario!F31="TN";"🟣 ANNA(TN)";""),IF(Calendario!F31="TT";"🟠 ANNA(TT)";""),IF(Calendario!G31="";"🟢 PEPE";""),IF(Calendario!G31="CL";"🟤 PEPE(CL)";""),IF(Calendario!G31="FV";"🟡 PEPE(FV)";""),IF(Calendario!G31="TM";"🔵 PEPE(TM)";""),IF(Calendario!G31="TN";"🟣 PEPE(TN)";""),IF(Calendario!G31="TT";"🟠 PEPE(TT)";""),IF(Calendario!H31="";"🟢 IVAN";""),IF(Calendario!H31="CL";"🟤 IVAN(CL)";""),IF(Calendario!H31="FV";"🟡 IVAN(FV)";""),IF(Calendario!H31="TM";"🔵 IVAN(TM)";""),IF(Calendario!H31="TN";"🟣 IVAN(TN)";""),IF(Calendario!H31="TT";"🟠 IVAN(TT)";""),IF(Calendario!I31="";"🟢 YERAY";""),IF(Calendario!I31="CL";"🟤 YERAY(CL)";""),IF(Calendario!I31="FV";"🟡 YERAY(FV)";""),IF(Calendario!I31="TM";"🔵 YERAY(TM)";""),IF(Calendario!I31="TN";"🟣 YERAY(TN)";""),IF(Calendario!I31="TT";"🟠 YERAY(TT)";""))</f>
        <v/>
      </c>
      <c r="D7" s="47">
        <f>TEXTJOIN(CHAR(10);TRUE;TEXT(Calendario!A32,"DD"),IF(Calendario!C32="";"🟢 RESI";""),IF(Calendario!C32="CL";"🟤 RESI(CL)";""),IF(Calendario!C32="FV";"🟡 RESI(FV)";""),IF(Calendario!C32="TM";"🔵 RESI(TM)";""),IF(Calendario!C32="TN";"🟣 RESI(TN)";""),IF(Calendario!C32="TT";"🟠 RESI(TT)";""),IF(Calendario!D32="";"🟢 OSCAR";""),IF(Calendario!D32="CL";"🟤 OSCAR(CL)";""),IF(Calendario!D32="FV";"🟡 OSCAR(FV)";""),IF(Calendario!D32="TM";"🔵 OSCAR(TM)";""),IF(Calendario!D32="TN";"🟣 OSCAR(TN)";""),IF(Calendario!D32="TT";"🟠 OSCAR(TT)";""),IF(Calendario!E32="";"🟢 CLARA";""),IF(Calendario!E32="CL";"🟤 CLARA(CL)";""),IF(Calendario!E32="FV";"🟡 CLARA(FV)";""),IF(Calendario!E32="TM";"🔵 CLARA(TM)";""),IF(Calendario!E32="TN";"🟣 CLARA(TN)";""),IF(Calendario!E32="TT";"🟠 CLARA(TT)";""),IF(Calendario!F32="";"🟢 ANNA";""),IF(Calendario!F32="CL";"🟤 ANNA(CL)";""),IF(Calendario!F32="FV";"🟡 ANNA(FV)";""),IF(Calendario!F32="TM";"🔵 ANNA(TM)";""),IF(Calendario!F32="TN";"🟣 ANNA(TN)";""),IF(Calendario!F32="TT";"🟠 ANNA(TT)";""),IF(Calendario!G32="";"🟢 PEPE";""),IF(Calendario!G32="CL";"🟤 PEPE(CL)";""),IF(Calendario!G32="FV";"🟡 PEPE(FV)";""),IF(Calendario!G32="TM";"🔵 PEPE(TM)";""),IF(Calendario!G32="TN";"🟣 PEPE(TN)";""),IF(Calendario!G32="TT";"🟠 PEPE(TT)";""),IF(Calendario!H32="";"🟢 IVAN";""),IF(Calendario!H32="CL";"🟤 IVAN(CL)";""),IF(Calendario!H32="FV";"🟡 IVAN(FV)";""),IF(Calendario!H32="TM";"🔵 IVAN(TM)";""),IF(Calendario!H32="TN";"🟣 IVAN(TN)";""),IF(Calendario!H32="TT";"🟠 IVAN(TT)";""),IF(Calendario!I32="";"🟢 YERAY";""),IF(Calendario!I32="CL";"🟤 YERAY(CL)";""),IF(Calendario!I32="FV";"🟡 YERAY(FV)";""),IF(Calendario!I32="TM";"🔵 YERAY(TM)";""),IF(Calendario!I32="TN";"🟣 YERAY(TN)";""),IF(Calendario!I32="TT";"🟠 YERAY(TT)";""))</f>
        <v/>
      </c>
      <c r="E7" s="47">
        <f>TEXTJOIN(CHAR(10);TRUE;TEXT(Calendario!A33,"DD"),IF(Calendario!C33="";"🟢 RESI";""),IF(Calendario!C33="CL";"🟤 RESI(CL)";""),IF(Calendario!C33="FV";"🟡 RESI(FV)";""),IF(Calendario!C33="TM";"🔵 RESI(TM)";""),IF(Calendario!C33="TN";"🟣 RESI(TN)";""),IF(Calendario!C33="TT";"🟠 RESI(TT)";""),IF(Calendario!D33="";"🟢 OSCAR";""),IF(Calendario!D33="CL";"🟤 OSCAR(CL)";""),IF(Calendario!D33="FV";"🟡 OSCAR(FV)";""),IF(Calendario!D33="TM";"🔵 OSCAR(TM)";""),IF(Calendario!D33="TN";"🟣 OSCAR(TN)";""),IF(Calendario!D33="TT";"🟠 OSCAR(TT)";""),IF(Calendario!E33="";"🟢 CLARA";""),IF(Calendario!E33="CL";"🟤 CLARA(CL)";""),IF(Calendario!E33="FV";"🟡 CLARA(FV)";""),IF(Calendario!E33="TM";"🔵 CLARA(TM)";""),IF(Calendario!E33="TN";"🟣 CLARA(TN)";""),IF(Calendario!E33="TT";"🟠 CLARA(TT)";""),IF(Calendario!F33="";"🟢 ANNA";""),IF(Calendario!F33="CL";"🟤 ANNA(CL)";""),IF(Calendario!F33="FV";"🟡 ANNA(FV)";""),IF(Calendario!F33="TM";"🔵 ANNA(TM)";""),IF(Calendario!F33="TN";"🟣 ANNA(TN)";""),IF(Calendario!F33="TT";"🟠 ANNA(TT)";""),IF(Calendario!G33="";"🟢 PEPE";""),IF(Calendario!G33="CL";"🟤 PEPE(CL)";""),IF(Calendario!G33="FV";"🟡 PEPE(FV)";""),IF(Calendario!G33="TM";"🔵 PEPE(TM)";""),IF(Calendario!G33="TN";"🟣 PEPE(TN)";""),IF(Calendario!G33="TT";"🟠 PEPE(TT)";""),IF(Calendario!H33="";"🟢 IVAN";""),IF(Calendario!H33="CL";"🟤 IVAN(CL)";""),IF(Calendario!H33="FV";"🟡 IVAN(FV)";""),IF(Calendario!H33="TM";"🔵 IVAN(TM)";""),IF(Calendario!H33="TN";"🟣 IVAN(TN)";""),IF(Calendario!H33="TT";"🟠 IVAN(TT)";""),IF(Calendario!I33="";"🟢 YERAY";""),IF(Calendario!I33="CL";"🟤 YERAY(CL)";""),IF(Calendario!I33="FV";"🟡 YERAY(FV)";""),IF(Calendario!I33="TM";"🔵 YERAY(TM)";""),IF(Calendario!I33="TN";"🟣 YERAY(TN)";""),IF(Calendario!I33="TT";"🟠 YERAY(TT)";""))</f>
        <v/>
      </c>
      <c r="F7" s="46" t="n"/>
      <c r="G7" s="46" t="n"/>
    </row>
    <row r="8" ht="130" customHeight="1">
      <c r="A8" s="46" t="n"/>
      <c r="B8" s="46" t="n"/>
      <c r="C8" s="46" t="n"/>
      <c r="D8" s="46" t="n"/>
      <c r="E8" s="46" t="n"/>
      <c r="F8" s="46" t="n"/>
      <c r="G8" s="46" t="n"/>
    </row>
    <row r="10" ht="32" customHeight="1">
      <c r="A10" s="49" t="inlineStr">
        <is>
          <t xml:space="preserve">  AGOSTO 2026</t>
        </is>
      </c>
      <c r="B10" s="3" t="n"/>
      <c r="C10" s="3" t="n"/>
      <c r="D10" s="3" t="n"/>
      <c r="E10" s="3" t="n"/>
      <c r="F10" s="3" t="n"/>
      <c r="G10" s="3" t="n"/>
    </row>
    <row r="11" ht="26" customHeight="1">
      <c r="A11" s="45" t="inlineStr">
        <is>
          <t>Lun</t>
        </is>
      </c>
      <c r="B11" s="45" t="inlineStr">
        <is>
          <t>Mar</t>
        </is>
      </c>
      <c r="C11" s="45" t="inlineStr">
        <is>
          <t>Mie</t>
        </is>
      </c>
      <c r="D11" s="45" t="inlineStr">
        <is>
          <t>Jue</t>
        </is>
      </c>
      <c r="E11" s="45" t="inlineStr">
        <is>
          <t>Vie</t>
        </is>
      </c>
      <c r="F11" s="45" t="inlineStr">
        <is>
          <t>Sab</t>
        </is>
      </c>
      <c r="G11" s="45" t="inlineStr">
        <is>
          <t>Dom</t>
        </is>
      </c>
    </row>
    <row r="12" ht="130" customHeight="1">
      <c r="A12" s="46" t="n"/>
      <c r="B12" s="46" t="n"/>
      <c r="C12" s="46" t="n"/>
      <c r="D12" s="46" t="n"/>
      <c r="E12" s="46" t="n"/>
      <c r="F12" s="48">
        <f>TEXTJOIN(CHAR(10);TRUE;TEXT(Calendario!A35,"DD"),IF(Calendario!C35="";"🟢 RESI";""),IF(Calendario!C35="CL";"🟤 RESI(CL)";""),IF(Calendario!C35="FV";"🟡 RESI(FV)";""),IF(Calendario!C35="TM";"🔵 RESI(TM)";""),IF(Calendario!C35="TN";"🟣 RESI(TN)";""),IF(Calendario!C35="TT";"🟠 RESI(TT)";""),IF(Calendario!D35="";"🟢 OSCAR";""),IF(Calendario!D35="CL";"🟤 OSCAR(CL)";""),IF(Calendario!D35="FV";"🟡 OSCAR(FV)";""),IF(Calendario!D35="TM";"🔵 OSCAR(TM)";""),IF(Calendario!D35="TN";"🟣 OSCAR(TN)";""),IF(Calendario!D35="TT";"🟠 OSCAR(TT)";""),IF(Calendario!E35="";"🟢 CLARA";""),IF(Calendario!E35="CL";"🟤 CLARA(CL)";""),IF(Calendario!E35="FV";"🟡 CLARA(FV)";""),IF(Calendario!E35="TM";"🔵 CLARA(TM)";""),IF(Calendario!E35="TN";"🟣 CLARA(TN)";""),IF(Calendario!E35="TT";"🟠 CLARA(TT)";""),IF(Calendario!F35="";"🟢 ANNA";""),IF(Calendario!F35="CL";"🟤 ANNA(CL)";""),IF(Calendario!F35="FV";"🟡 ANNA(FV)";""),IF(Calendario!F35="TM";"🔵 ANNA(TM)";""),IF(Calendario!F35="TN";"🟣 ANNA(TN)";""),IF(Calendario!F35="TT";"🟠 ANNA(TT)";""),IF(Calendario!G35="";"🟢 PEPE";""),IF(Calendario!G35="CL";"🟤 PEPE(CL)";""),IF(Calendario!G35="FV";"🟡 PEPE(FV)";""),IF(Calendario!G35="TM";"🔵 PEPE(TM)";""),IF(Calendario!G35="TN";"🟣 PEPE(TN)";""),IF(Calendario!G35="TT";"🟠 PEPE(TT)";""),IF(Calendario!H35="";"🟢 IVAN";""),IF(Calendario!H35="CL";"🟤 IVAN(CL)";""),IF(Calendario!H35="FV";"🟡 IVAN(FV)";""),IF(Calendario!H35="TM";"🔵 IVAN(TM)";""),IF(Calendario!H35="TN";"🟣 IVAN(TN)";""),IF(Calendario!H35="TT";"🟠 IVAN(TT)";""),IF(Calendario!I35="";"🟢 YERAY";""),IF(Calendario!I35="CL";"🟤 YERAY(CL)";""),IF(Calendario!I35="FV";"🟡 YERAY(FV)";""),IF(Calendario!I35="TM";"🔵 YERAY(TM)";""),IF(Calendario!I35="TN";"🟣 YERAY(TN)";""),IF(Calendario!I35="TT";"🟠 YERAY(TT)";""))</f>
        <v/>
      </c>
      <c r="G12" s="48">
        <f>TEXTJOIN(CHAR(10);TRUE;TEXT(Calendario!A36,"DD"),IF(Calendario!C36="";"🟢 RESI";""),IF(Calendario!C36="CL";"🟤 RESI(CL)";""),IF(Calendario!C36="FV";"🟡 RESI(FV)";""),IF(Calendario!C36="TM";"🔵 RESI(TM)";""),IF(Calendario!C36="TN";"🟣 RESI(TN)";""),IF(Calendario!C36="TT";"🟠 RESI(TT)";""),IF(Calendario!D36="";"🟢 OSCAR";""),IF(Calendario!D36="CL";"🟤 OSCAR(CL)";""),IF(Calendario!D36="FV";"🟡 OSCAR(FV)";""),IF(Calendario!D36="TM";"🔵 OSCAR(TM)";""),IF(Calendario!D36="TN";"🟣 OSCAR(TN)";""),IF(Calendario!D36="TT";"🟠 OSCAR(TT)";""),IF(Calendario!E36="";"🟢 CLARA";""),IF(Calendario!E36="CL";"🟤 CLARA(CL)";""),IF(Calendario!E36="FV";"🟡 CLARA(FV)";""),IF(Calendario!E36="TM";"🔵 CLARA(TM)";""),IF(Calendario!E36="TN";"🟣 CLARA(TN)";""),IF(Calendario!E36="TT";"🟠 CLARA(TT)";""),IF(Calendario!F36="";"🟢 ANNA";""),IF(Calendario!F36="CL";"🟤 ANNA(CL)";""),IF(Calendario!F36="FV";"🟡 ANNA(FV)";""),IF(Calendario!F36="TM";"🔵 ANNA(TM)";""),IF(Calendario!F36="TN";"🟣 ANNA(TN)";""),IF(Calendario!F36="TT";"🟠 ANNA(TT)";""),IF(Calendario!G36="";"🟢 PEPE";""),IF(Calendario!G36="CL";"🟤 PEPE(CL)";""),IF(Calendario!G36="FV";"🟡 PEPE(FV)";""),IF(Calendario!G36="TM";"🔵 PEPE(TM)";""),IF(Calendario!G36="TN";"🟣 PEPE(TN)";""),IF(Calendario!G36="TT";"🟠 PEPE(TT)";""),IF(Calendario!H36="";"🟢 IVAN";""),IF(Calendario!H36="CL";"🟤 IVAN(CL)";""),IF(Calendario!H36="FV";"🟡 IVAN(FV)";""),IF(Calendario!H36="TM";"🔵 IVAN(TM)";""),IF(Calendario!H36="TN";"🟣 IVAN(TN)";""),IF(Calendario!H36="TT";"🟠 IVAN(TT)";""),IF(Calendario!I36="";"🟢 YERAY";""),IF(Calendario!I36="CL";"🟤 YERAY(CL)";""),IF(Calendario!I36="FV";"🟡 YERAY(FV)";""),IF(Calendario!I36="TM";"🔵 YERAY(TM)";""),IF(Calendario!I36="TN";"🟣 YERAY(TN)";""),IF(Calendario!I36="TT";"🟠 YERAY(TT)";""))</f>
        <v/>
      </c>
    </row>
    <row r="13" ht="130" customHeight="1">
      <c r="A13" s="47">
        <f>TEXTJOIN(CHAR(10);TRUE;TEXT(Calendario!A37,"DD"),IF(Calendario!C37="";"🟢 RESI";""),IF(Calendario!C37="CL";"🟤 RESI(CL)";""),IF(Calendario!C37="FV";"🟡 RESI(FV)";""),IF(Calendario!C37="TM";"🔵 RESI(TM)";""),IF(Calendario!C37="TN";"🟣 RESI(TN)";""),IF(Calendario!C37="TT";"🟠 RESI(TT)";""),IF(Calendario!D37="";"🟢 OSCAR";""),IF(Calendario!D37="CL";"🟤 OSCAR(CL)";""),IF(Calendario!D37="FV";"🟡 OSCAR(FV)";""),IF(Calendario!D37="TM";"🔵 OSCAR(TM)";""),IF(Calendario!D37="TN";"🟣 OSCAR(TN)";""),IF(Calendario!D37="TT";"🟠 OSCAR(TT)";""),IF(Calendario!E37="";"🟢 CLARA";""),IF(Calendario!E37="CL";"🟤 CLARA(CL)";""),IF(Calendario!E37="FV";"🟡 CLARA(FV)";""),IF(Calendario!E37="TM";"🔵 CLARA(TM)";""),IF(Calendario!E37="TN";"🟣 CLARA(TN)";""),IF(Calendario!E37="TT";"🟠 CLARA(TT)";""),IF(Calendario!F37="";"🟢 ANNA";""),IF(Calendario!F37="CL";"🟤 ANNA(CL)";""),IF(Calendario!F37="FV";"🟡 ANNA(FV)";""),IF(Calendario!F37="TM";"🔵 ANNA(TM)";""),IF(Calendario!F37="TN";"🟣 ANNA(TN)";""),IF(Calendario!F37="TT";"🟠 ANNA(TT)";""),IF(Calendario!G37="";"🟢 PEPE";""),IF(Calendario!G37="CL";"🟤 PEPE(CL)";""),IF(Calendario!G37="FV";"🟡 PEPE(FV)";""),IF(Calendario!G37="TM";"🔵 PEPE(TM)";""),IF(Calendario!G37="TN";"🟣 PEPE(TN)";""),IF(Calendario!G37="TT";"🟠 PEPE(TT)";""),IF(Calendario!H37="";"🟢 IVAN";""),IF(Calendario!H37="CL";"🟤 IVAN(CL)";""),IF(Calendario!H37="FV";"🟡 IVAN(FV)";""),IF(Calendario!H37="TM";"🔵 IVAN(TM)";""),IF(Calendario!H37="TN";"🟣 IVAN(TN)";""),IF(Calendario!H37="TT";"🟠 IVAN(TT)";""),IF(Calendario!I37="";"🟢 YERAY";""),IF(Calendario!I37="CL";"🟤 YERAY(CL)";""),IF(Calendario!I37="FV";"🟡 YERAY(FV)";""),IF(Calendario!I37="TM";"🔵 YERAY(TM)";""),IF(Calendario!I37="TN";"🟣 YERAY(TN)";""),IF(Calendario!I37="TT";"🟠 YERAY(TT)";""))</f>
        <v/>
      </c>
      <c r="B13" s="47">
        <f>TEXTJOIN(CHAR(10);TRUE;TEXT(Calendario!A38,"DD"),IF(Calendario!C38="";"🟢 RESI";""),IF(Calendario!C38="CL";"🟤 RESI(CL)";""),IF(Calendario!C38="FV";"🟡 RESI(FV)";""),IF(Calendario!C38="TM";"🔵 RESI(TM)";""),IF(Calendario!C38="TN";"🟣 RESI(TN)";""),IF(Calendario!C38="TT";"🟠 RESI(TT)";""),IF(Calendario!D38="";"🟢 OSCAR";""),IF(Calendario!D38="CL";"🟤 OSCAR(CL)";""),IF(Calendario!D38="FV";"🟡 OSCAR(FV)";""),IF(Calendario!D38="TM";"🔵 OSCAR(TM)";""),IF(Calendario!D38="TN";"🟣 OSCAR(TN)";""),IF(Calendario!D38="TT";"🟠 OSCAR(TT)";""),IF(Calendario!E38="";"🟢 CLARA";""),IF(Calendario!E38="CL";"🟤 CLARA(CL)";""),IF(Calendario!E38="FV";"🟡 CLARA(FV)";""),IF(Calendario!E38="TM";"🔵 CLARA(TM)";""),IF(Calendario!E38="TN";"🟣 CLARA(TN)";""),IF(Calendario!E38="TT";"🟠 CLARA(TT)";""),IF(Calendario!F38="";"🟢 ANNA";""),IF(Calendario!F38="CL";"🟤 ANNA(CL)";""),IF(Calendario!F38="FV";"🟡 ANNA(FV)";""),IF(Calendario!F38="TM";"🔵 ANNA(TM)";""),IF(Calendario!F38="TN";"🟣 ANNA(TN)";""),IF(Calendario!F38="TT";"🟠 ANNA(TT)";""),IF(Calendario!G38="";"🟢 PEPE";""),IF(Calendario!G38="CL";"🟤 PEPE(CL)";""),IF(Calendario!G38="FV";"🟡 PEPE(FV)";""),IF(Calendario!G38="TM";"🔵 PEPE(TM)";""),IF(Calendario!G38="TN";"🟣 PEPE(TN)";""),IF(Calendario!G38="TT";"🟠 PEPE(TT)";""),IF(Calendario!H38="";"🟢 IVAN";""),IF(Calendario!H38="CL";"🟤 IVAN(CL)";""),IF(Calendario!H38="FV";"🟡 IVAN(FV)";""),IF(Calendario!H38="TM";"🔵 IVAN(TM)";""),IF(Calendario!H38="TN";"🟣 IVAN(TN)";""),IF(Calendario!H38="TT";"🟠 IVAN(TT)";""),IF(Calendario!I38="";"🟢 YERAY";""),IF(Calendario!I38="CL";"🟤 YERAY(CL)";""),IF(Calendario!I38="FV";"🟡 YERAY(FV)";""),IF(Calendario!I38="TM";"🔵 YERAY(TM)";""),IF(Calendario!I38="TN";"🟣 YERAY(TN)";""),IF(Calendario!I38="TT";"🟠 YERAY(TT)";""))</f>
        <v/>
      </c>
      <c r="C13" s="47">
        <f>TEXTJOIN(CHAR(10);TRUE;TEXT(Calendario!A39,"DD"),IF(Calendario!C39="";"🟢 RESI";""),IF(Calendario!C39="CL";"🟤 RESI(CL)";""),IF(Calendario!C39="FV";"🟡 RESI(FV)";""),IF(Calendario!C39="TM";"🔵 RESI(TM)";""),IF(Calendario!C39="TN";"🟣 RESI(TN)";""),IF(Calendario!C39="TT";"🟠 RESI(TT)";""),IF(Calendario!D39="";"🟢 OSCAR";""),IF(Calendario!D39="CL";"🟤 OSCAR(CL)";""),IF(Calendario!D39="FV";"🟡 OSCAR(FV)";""),IF(Calendario!D39="TM";"🔵 OSCAR(TM)";""),IF(Calendario!D39="TN";"🟣 OSCAR(TN)";""),IF(Calendario!D39="TT";"🟠 OSCAR(TT)";""),IF(Calendario!E39="";"🟢 CLARA";""),IF(Calendario!E39="CL";"🟤 CLARA(CL)";""),IF(Calendario!E39="FV";"🟡 CLARA(FV)";""),IF(Calendario!E39="TM";"🔵 CLARA(TM)";""),IF(Calendario!E39="TN";"🟣 CLARA(TN)";""),IF(Calendario!E39="TT";"🟠 CLARA(TT)";""),IF(Calendario!F39="";"🟢 ANNA";""),IF(Calendario!F39="CL";"🟤 ANNA(CL)";""),IF(Calendario!F39="FV";"🟡 ANNA(FV)";""),IF(Calendario!F39="TM";"🔵 ANNA(TM)";""),IF(Calendario!F39="TN";"🟣 ANNA(TN)";""),IF(Calendario!F39="TT";"🟠 ANNA(TT)";""),IF(Calendario!G39="";"🟢 PEPE";""),IF(Calendario!G39="CL";"🟤 PEPE(CL)";""),IF(Calendario!G39="FV";"🟡 PEPE(FV)";""),IF(Calendario!G39="TM";"🔵 PEPE(TM)";""),IF(Calendario!G39="TN";"🟣 PEPE(TN)";""),IF(Calendario!G39="TT";"🟠 PEPE(TT)";""),IF(Calendario!H39="";"🟢 IVAN";""),IF(Calendario!H39="CL";"🟤 IVAN(CL)";""),IF(Calendario!H39="FV";"🟡 IVAN(FV)";""),IF(Calendario!H39="TM";"🔵 IVAN(TM)";""),IF(Calendario!H39="TN";"🟣 IVAN(TN)";""),IF(Calendario!H39="TT";"🟠 IVAN(TT)";""),IF(Calendario!I39="";"🟢 YERAY";""),IF(Calendario!I39="CL";"🟤 YERAY(CL)";""),IF(Calendario!I39="FV";"🟡 YERAY(FV)";""),IF(Calendario!I39="TM";"🔵 YERAY(TM)";""),IF(Calendario!I39="TN";"🟣 YERAY(TN)";""),IF(Calendario!I39="TT";"🟠 YERAY(TT)";""))</f>
        <v/>
      </c>
      <c r="D13" s="47">
        <f>TEXTJOIN(CHAR(10);TRUE;TEXT(Calendario!A40,"DD"),IF(Calendario!C40="";"🟢 RESI";""),IF(Calendario!C40="CL";"🟤 RESI(CL)";""),IF(Calendario!C40="FV";"🟡 RESI(FV)";""),IF(Calendario!C40="TM";"🔵 RESI(TM)";""),IF(Calendario!C40="TN";"🟣 RESI(TN)";""),IF(Calendario!C40="TT";"🟠 RESI(TT)";""),IF(Calendario!D40="";"🟢 OSCAR";""),IF(Calendario!D40="CL";"🟤 OSCAR(CL)";""),IF(Calendario!D40="FV";"🟡 OSCAR(FV)";""),IF(Calendario!D40="TM";"🔵 OSCAR(TM)";""),IF(Calendario!D40="TN";"🟣 OSCAR(TN)";""),IF(Calendario!D40="TT";"🟠 OSCAR(TT)";""),IF(Calendario!E40="";"🟢 CLARA";""),IF(Calendario!E40="CL";"🟤 CLARA(CL)";""),IF(Calendario!E40="FV";"🟡 CLARA(FV)";""),IF(Calendario!E40="TM";"🔵 CLARA(TM)";""),IF(Calendario!E40="TN";"🟣 CLARA(TN)";""),IF(Calendario!E40="TT";"🟠 CLARA(TT)";""),IF(Calendario!F40="";"🟢 ANNA";""),IF(Calendario!F40="CL";"🟤 ANNA(CL)";""),IF(Calendario!F40="FV";"🟡 ANNA(FV)";""),IF(Calendario!F40="TM";"🔵 ANNA(TM)";""),IF(Calendario!F40="TN";"🟣 ANNA(TN)";""),IF(Calendario!F40="TT";"🟠 ANNA(TT)";""),IF(Calendario!G40="";"🟢 PEPE";""),IF(Calendario!G40="CL";"🟤 PEPE(CL)";""),IF(Calendario!G40="FV";"🟡 PEPE(FV)";""),IF(Calendario!G40="TM";"🔵 PEPE(TM)";""),IF(Calendario!G40="TN";"🟣 PEPE(TN)";""),IF(Calendario!G40="TT";"🟠 PEPE(TT)";""),IF(Calendario!H40="";"🟢 IVAN";""),IF(Calendario!H40="CL";"🟤 IVAN(CL)";""),IF(Calendario!H40="FV";"🟡 IVAN(FV)";""),IF(Calendario!H40="TM";"🔵 IVAN(TM)";""),IF(Calendario!H40="TN";"🟣 IVAN(TN)";""),IF(Calendario!H40="TT";"🟠 IVAN(TT)";""),IF(Calendario!I40="";"🟢 YERAY";""),IF(Calendario!I40="CL";"🟤 YERAY(CL)";""),IF(Calendario!I40="FV";"🟡 YERAY(FV)";""),IF(Calendario!I40="TM";"🔵 YERAY(TM)";""),IF(Calendario!I40="TN";"🟣 YERAY(TN)";""),IF(Calendario!I40="TT";"🟠 YERAY(TT)";""))</f>
        <v/>
      </c>
      <c r="E13" s="47">
        <f>TEXTJOIN(CHAR(10);TRUE;TEXT(Calendario!A41,"DD"),IF(Calendario!C41="";"🟢 RESI";""),IF(Calendario!C41="CL";"🟤 RESI(CL)";""),IF(Calendario!C41="FV";"🟡 RESI(FV)";""),IF(Calendario!C41="TM";"🔵 RESI(TM)";""),IF(Calendario!C41="TN";"🟣 RESI(TN)";""),IF(Calendario!C41="TT";"🟠 RESI(TT)";""),IF(Calendario!D41="";"🟢 OSCAR";""),IF(Calendario!D41="CL";"🟤 OSCAR(CL)";""),IF(Calendario!D41="FV";"🟡 OSCAR(FV)";""),IF(Calendario!D41="TM";"🔵 OSCAR(TM)";""),IF(Calendario!D41="TN";"🟣 OSCAR(TN)";""),IF(Calendario!D41="TT";"🟠 OSCAR(TT)";""),IF(Calendario!E41="";"🟢 CLARA";""),IF(Calendario!E41="CL";"🟤 CLARA(CL)";""),IF(Calendario!E41="FV";"🟡 CLARA(FV)";""),IF(Calendario!E41="TM";"🔵 CLARA(TM)";""),IF(Calendario!E41="TN";"🟣 CLARA(TN)";""),IF(Calendario!E41="TT";"🟠 CLARA(TT)";""),IF(Calendario!F41="";"🟢 ANNA";""),IF(Calendario!F41="CL";"🟤 ANNA(CL)";""),IF(Calendario!F41="FV";"🟡 ANNA(FV)";""),IF(Calendario!F41="TM";"🔵 ANNA(TM)";""),IF(Calendario!F41="TN";"🟣 ANNA(TN)";""),IF(Calendario!F41="TT";"🟠 ANNA(TT)";""),IF(Calendario!G41="";"🟢 PEPE";""),IF(Calendario!G41="CL";"🟤 PEPE(CL)";""),IF(Calendario!G41="FV";"🟡 PEPE(FV)";""),IF(Calendario!G41="TM";"🔵 PEPE(TM)";""),IF(Calendario!G41="TN";"🟣 PEPE(TN)";""),IF(Calendario!G41="TT";"🟠 PEPE(TT)";""),IF(Calendario!H41="";"🟢 IVAN";""),IF(Calendario!H41="CL";"🟤 IVAN(CL)";""),IF(Calendario!H41="FV";"🟡 IVAN(FV)";""),IF(Calendario!H41="TM";"🔵 IVAN(TM)";""),IF(Calendario!H41="TN";"🟣 IVAN(TN)";""),IF(Calendario!H41="TT";"🟠 IVAN(TT)";""),IF(Calendario!I41="";"🟢 YERAY";""),IF(Calendario!I41="CL";"🟤 YERAY(CL)";""),IF(Calendario!I41="FV";"🟡 YERAY(FV)";""),IF(Calendario!I41="TM";"🔵 YERAY(TM)";""),IF(Calendario!I41="TN";"🟣 YERAY(TN)";""),IF(Calendario!I41="TT";"🟠 YERAY(TT)";""))</f>
        <v/>
      </c>
      <c r="F13" s="48">
        <f>TEXTJOIN(CHAR(10);TRUE;TEXT(Calendario!A42,"DD"),IF(Calendario!C42="";"🟢 RESI";""),IF(Calendario!C42="CL";"🟤 RESI(CL)";""),IF(Calendario!C42="FV";"🟡 RESI(FV)";""),IF(Calendario!C42="TM";"🔵 RESI(TM)";""),IF(Calendario!C42="TN";"🟣 RESI(TN)";""),IF(Calendario!C42="TT";"🟠 RESI(TT)";""),IF(Calendario!D42="";"🟢 OSCAR";""),IF(Calendario!D42="CL";"🟤 OSCAR(CL)";""),IF(Calendario!D42="FV";"🟡 OSCAR(FV)";""),IF(Calendario!D42="TM";"🔵 OSCAR(TM)";""),IF(Calendario!D42="TN";"🟣 OSCAR(TN)";""),IF(Calendario!D42="TT";"🟠 OSCAR(TT)";""),IF(Calendario!E42="";"🟢 CLARA";""),IF(Calendario!E42="CL";"🟤 CLARA(CL)";""),IF(Calendario!E42="FV";"🟡 CLARA(FV)";""),IF(Calendario!E42="TM";"🔵 CLARA(TM)";""),IF(Calendario!E42="TN";"🟣 CLARA(TN)";""),IF(Calendario!E42="TT";"🟠 CLARA(TT)";""),IF(Calendario!F42="";"🟢 ANNA";""),IF(Calendario!F42="CL";"🟤 ANNA(CL)";""),IF(Calendario!F42="FV";"🟡 ANNA(FV)";""),IF(Calendario!F42="TM";"🔵 ANNA(TM)";""),IF(Calendario!F42="TN";"🟣 ANNA(TN)";""),IF(Calendario!F42="TT";"🟠 ANNA(TT)";""),IF(Calendario!G42="";"🟢 PEPE";""),IF(Calendario!G42="CL";"🟤 PEPE(CL)";""),IF(Calendario!G42="FV";"🟡 PEPE(FV)";""),IF(Calendario!G42="TM";"🔵 PEPE(TM)";""),IF(Calendario!G42="TN";"🟣 PEPE(TN)";""),IF(Calendario!G42="TT";"🟠 PEPE(TT)";""),IF(Calendario!H42="";"🟢 IVAN";""),IF(Calendario!H42="CL";"🟤 IVAN(CL)";""),IF(Calendario!H42="FV";"🟡 IVAN(FV)";""),IF(Calendario!H42="TM";"🔵 IVAN(TM)";""),IF(Calendario!H42="TN";"🟣 IVAN(TN)";""),IF(Calendario!H42="TT";"🟠 IVAN(TT)";""),IF(Calendario!I42="";"🟢 YERAY";""),IF(Calendario!I42="CL";"🟤 YERAY(CL)";""),IF(Calendario!I42="FV";"🟡 YERAY(FV)";""),IF(Calendario!I42="TM";"🔵 YERAY(TM)";""),IF(Calendario!I42="TN";"🟣 YERAY(TN)";""),IF(Calendario!I42="TT";"🟠 YERAY(TT)";""))</f>
        <v/>
      </c>
      <c r="G13" s="48">
        <f>TEXTJOIN(CHAR(10);TRUE;TEXT(Calendario!A43,"DD"),IF(Calendario!C43="";"🟢 RESI";""),IF(Calendario!C43="CL";"🟤 RESI(CL)";""),IF(Calendario!C43="FV";"🟡 RESI(FV)";""),IF(Calendario!C43="TM";"🔵 RESI(TM)";""),IF(Calendario!C43="TN";"🟣 RESI(TN)";""),IF(Calendario!C43="TT";"🟠 RESI(TT)";""),IF(Calendario!D43="";"🟢 OSCAR";""),IF(Calendario!D43="CL";"🟤 OSCAR(CL)";""),IF(Calendario!D43="FV";"🟡 OSCAR(FV)";""),IF(Calendario!D43="TM";"🔵 OSCAR(TM)";""),IF(Calendario!D43="TN";"🟣 OSCAR(TN)";""),IF(Calendario!D43="TT";"🟠 OSCAR(TT)";""),IF(Calendario!E43="";"🟢 CLARA";""),IF(Calendario!E43="CL";"🟤 CLARA(CL)";""),IF(Calendario!E43="FV";"🟡 CLARA(FV)";""),IF(Calendario!E43="TM";"🔵 CLARA(TM)";""),IF(Calendario!E43="TN";"🟣 CLARA(TN)";""),IF(Calendario!E43="TT";"🟠 CLARA(TT)";""),IF(Calendario!F43="";"🟢 ANNA";""),IF(Calendario!F43="CL";"🟤 ANNA(CL)";""),IF(Calendario!F43="FV";"🟡 ANNA(FV)";""),IF(Calendario!F43="TM";"🔵 ANNA(TM)";""),IF(Calendario!F43="TN";"🟣 ANNA(TN)";""),IF(Calendario!F43="TT";"🟠 ANNA(TT)";""),IF(Calendario!G43="";"🟢 PEPE";""),IF(Calendario!G43="CL";"🟤 PEPE(CL)";""),IF(Calendario!G43="FV";"🟡 PEPE(FV)";""),IF(Calendario!G43="TM";"🔵 PEPE(TM)";""),IF(Calendario!G43="TN";"🟣 PEPE(TN)";""),IF(Calendario!G43="TT";"🟠 PEPE(TT)";""),IF(Calendario!H43="";"🟢 IVAN";""),IF(Calendario!H43="CL";"🟤 IVAN(CL)";""),IF(Calendario!H43="FV";"🟡 IVAN(FV)";""),IF(Calendario!H43="TM";"🔵 IVAN(TM)";""),IF(Calendario!H43="TN";"🟣 IVAN(TN)";""),IF(Calendario!H43="TT";"🟠 IVAN(TT)";""),IF(Calendario!I43="";"🟢 YERAY";""),IF(Calendario!I43="CL";"🟤 YERAY(CL)";""),IF(Calendario!I43="FV";"🟡 YERAY(FV)";""),IF(Calendario!I43="TM";"🔵 YERAY(TM)";""),IF(Calendario!I43="TN";"🟣 YERAY(TN)";""),IF(Calendario!I43="TT";"🟠 YERAY(TT)";""))</f>
        <v/>
      </c>
    </row>
    <row r="14" ht="130" customHeight="1">
      <c r="A14" s="47">
        <f>TEXTJOIN(CHAR(10);TRUE;TEXT(Calendario!A44,"DD"),IF(Calendario!C44="";"🟢 RESI";""),IF(Calendario!C44="CL";"🟤 RESI(CL)";""),IF(Calendario!C44="FV";"🟡 RESI(FV)";""),IF(Calendario!C44="TM";"🔵 RESI(TM)";""),IF(Calendario!C44="TN";"🟣 RESI(TN)";""),IF(Calendario!C44="TT";"🟠 RESI(TT)";""),IF(Calendario!D44="";"🟢 OSCAR";""),IF(Calendario!D44="CL";"🟤 OSCAR(CL)";""),IF(Calendario!D44="FV";"🟡 OSCAR(FV)";""),IF(Calendario!D44="TM";"🔵 OSCAR(TM)";""),IF(Calendario!D44="TN";"🟣 OSCAR(TN)";""),IF(Calendario!D44="TT";"🟠 OSCAR(TT)";""),IF(Calendario!E44="";"🟢 CLARA";""),IF(Calendario!E44="CL";"🟤 CLARA(CL)";""),IF(Calendario!E44="FV";"🟡 CLARA(FV)";""),IF(Calendario!E44="TM";"🔵 CLARA(TM)";""),IF(Calendario!E44="TN";"🟣 CLARA(TN)";""),IF(Calendario!E44="TT";"🟠 CLARA(TT)";""),IF(Calendario!F44="";"🟢 ANNA";""),IF(Calendario!F44="CL";"🟤 ANNA(CL)";""),IF(Calendario!F44="FV";"🟡 ANNA(FV)";""),IF(Calendario!F44="TM";"🔵 ANNA(TM)";""),IF(Calendario!F44="TN";"🟣 ANNA(TN)";""),IF(Calendario!F44="TT";"🟠 ANNA(TT)";""),IF(Calendario!G44="";"🟢 PEPE";""),IF(Calendario!G44="CL";"🟤 PEPE(CL)";""),IF(Calendario!G44="FV";"🟡 PEPE(FV)";""),IF(Calendario!G44="TM";"🔵 PEPE(TM)";""),IF(Calendario!G44="TN";"🟣 PEPE(TN)";""),IF(Calendario!G44="TT";"🟠 PEPE(TT)";""),IF(Calendario!H44="";"🟢 IVAN";""),IF(Calendario!H44="CL";"🟤 IVAN(CL)";""),IF(Calendario!H44="FV";"🟡 IVAN(FV)";""),IF(Calendario!H44="TM";"🔵 IVAN(TM)";""),IF(Calendario!H44="TN";"🟣 IVAN(TN)";""),IF(Calendario!H44="TT";"🟠 IVAN(TT)";""),IF(Calendario!I44="";"🟢 YERAY";""),IF(Calendario!I44="CL";"🟤 YERAY(CL)";""),IF(Calendario!I44="FV";"🟡 YERAY(FV)";""),IF(Calendario!I44="TM";"🔵 YERAY(TM)";""),IF(Calendario!I44="TN";"🟣 YERAY(TN)";""),IF(Calendario!I44="TT";"🟠 YERAY(TT)";""))</f>
        <v/>
      </c>
      <c r="B14" s="47">
        <f>TEXTJOIN(CHAR(10);TRUE;TEXT(Calendario!A45,"DD"),IF(Calendario!C45="";"🟢 RESI";""),IF(Calendario!C45="CL";"🟤 RESI(CL)";""),IF(Calendario!C45="FV";"🟡 RESI(FV)";""),IF(Calendario!C45="TM";"🔵 RESI(TM)";""),IF(Calendario!C45="TN";"🟣 RESI(TN)";""),IF(Calendario!C45="TT";"🟠 RESI(TT)";""),IF(Calendario!D45="";"🟢 OSCAR";""),IF(Calendario!D45="CL";"🟤 OSCAR(CL)";""),IF(Calendario!D45="FV";"🟡 OSCAR(FV)";""),IF(Calendario!D45="TM";"🔵 OSCAR(TM)";""),IF(Calendario!D45="TN";"🟣 OSCAR(TN)";""),IF(Calendario!D45="TT";"🟠 OSCAR(TT)";""),IF(Calendario!E45="";"🟢 CLARA";""),IF(Calendario!E45="CL";"🟤 CLARA(CL)";""),IF(Calendario!E45="FV";"🟡 CLARA(FV)";""),IF(Calendario!E45="TM";"🔵 CLARA(TM)";""),IF(Calendario!E45="TN";"🟣 CLARA(TN)";""),IF(Calendario!E45="TT";"🟠 CLARA(TT)";""),IF(Calendario!F45="";"🟢 ANNA";""),IF(Calendario!F45="CL";"🟤 ANNA(CL)";""),IF(Calendario!F45="FV";"🟡 ANNA(FV)";""),IF(Calendario!F45="TM";"🔵 ANNA(TM)";""),IF(Calendario!F45="TN";"🟣 ANNA(TN)";""),IF(Calendario!F45="TT";"🟠 ANNA(TT)";""),IF(Calendario!G45="";"🟢 PEPE";""),IF(Calendario!G45="CL";"🟤 PEPE(CL)";""),IF(Calendario!G45="FV";"🟡 PEPE(FV)";""),IF(Calendario!G45="TM";"🔵 PEPE(TM)";""),IF(Calendario!G45="TN";"🟣 PEPE(TN)";""),IF(Calendario!G45="TT";"🟠 PEPE(TT)";""),IF(Calendario!H45="";"🟢 IVAN";""),IF(Calendario!H45="CL";"🟤 IVAN(CL)";""),IF(Calendario!H45="FV";"🟡 IVAN(FV)";""),IF(Calendario!H45="TM";"🔵 IVAN(TM)";""),IF(Calendario!H45="TN";"🟣 IVAN(TN)";""),IF(Calendario!H45="TT";"🟠 IVAN(TT)";""),IF(Calendario!I45="";"🟢 YERAY";""),IF(Calendario!I45="CL";"🟤 YERAY(CL)";""),IF(Calendario!I45="FV";"🟡 YERAY(FV)";""),IF(Calendario!I45="TM";"🔵 YERAY(TM)";""),IF(Calendario!I45="TN";"🟣 YERAY(TN)";""),IF(Calendario!I45="TT";"🟠 YERAY(TT)";""))</f>
        <v/>
      </c>
      <c r="C14" s="47">
        <f>TEXTJOIN(CHAR(10);TRUE;TEXT(Calendario!A46,"DD"),IF(Calendario!C46="";"🟢 RESI";""),IF(Calendario!C46="CL";"🟤 RESI(CL)";""),IF(Calendario!C46="FV";"🟡 RESI(FV)";""),IF(Calendario!C46="TM";"🔵 RESI(TM)";""),IF(Calendario!C46="TN";"🟣 RESI(TN)";""),IF(Calendario!C46="TT";"🟠 RESI(TT)";""),IF(Calendario!D46="";"🟢 OSCAR";""),IF(Calendario!D46="CL";"🟤 OSCAR(CL)";""),IF(Calendario!D46="FV";"🟡 OSCAR(FV)";""),IF(Calendario!D46="TM";"🔵 OSCAR(TM)";""),IF(Calendario!D46="TN";"🟣 OSCAR(TN)";""),IF(Calendario!D46="TT";"🟠 OSCAR(TT)";""),IF(Calendario!E46="";"🟢 CLARA";""),IF(Calendario!E46="CL";"🟤 CLARA(CL)";""),IF(Calendario!E46="FV";"🟡 CLARA(FV)";""),IF(Calendario!E46="TM";"🔵 CLARA(TM)";""),IF(Calendario!E46="TN";"🟣 CLARA(TN)";""),IF(Calendario!E46="TT";"🟠 CLARA(TT)";""),IF(Calendario!F46="";"🟢 ANNA";""),IF(Calendario!F46="CL";"🟤 ANNA(CL)";""),IF(Calendario!F46="FV";"🟡 ANNA(FV)";""),IF(Calendario!F46="TM";"🔵 ANNA(TM)";""),IF(Calendario!F46="TN";"🟣 ANNA(TN)";""),IF(Calendario!F46="TT";"🟠 ANNA(TT)";""),IF(Calendario!G46="";"🟢 PEPE";""),IF(Calendario!G46="CL";"🟤 PEPE(CL)";""),IF(Calendario!G46="FV";"🟡 PEPE(FV)";""),IF(Calendario!G46="TM";"🔵 PEPE(TM)";""),IF(Calendario!G46="TN";"🟣 PEPE(TN)";""),IF(Calendario!G46="TT";"🟠 PEPE(TT)";""),IF(Calendario!H46="";"🟢 IVAN";""),IF(Calendario!H46="CL";"🟤 IVAN(CL)";""),IF(Calendario!H46="FV";"🟡 IVAN(FV)";""),IF(Calendario!H46="TM";"🔵 IVAN(TM)";""),IF(Calendario!H46="TN";"🟣 IVAN(TN)";""),IF(Calendario!H46="TT";"🟠 IVAN(TT)";""),IF(Calendario!I46="";"🟢 YERAY";""),IF(Calendario!I46="CL";"🟤 YERAY(CL)";""),IF(Calendario!I46="FV";"🟡 YERAY(FV)";""),IF(Calendario!I46="TM";"🔵 YERAY(TM)";""),IF(Calendario!I46="TN";"🟣 YERAY(TN)";""),IF(Calendario!I46="TT";"🟠 YERAY(TT)";""))</f>
        <v/>
      </c>
      <c r="D14" s="47">
        <f>TEXTJOIN(CHAR(10);TRUE;TEXT(Calendario!A47,"DD"),IF(Calendario!C47="";"🟢 RESI";""),IF(Calendario!C47="CL";"🟤 RESI(CL)";""),IF(Calendario!C47="FV";"🟡 RESI(FV)";""),IF(Calendario!C47="TM";"🔵 RESI(TM)";""),IF(Calendario!C47="TN";"🟣 RESI(TN)";""),IF(Calendario!C47="TT";"🟠 RESI(TT)";""),IF(Calendario!D47="";"🟢 OSCAR";""),IF(Calendario!D47="CL";"🟤 OSCAR(CL)";""),IF(Calendario!D47="FV";"🟡 OSCAR(FV)";""),IF(Calendario!D47="TM";"🔵 OSCAR(TM)";""),IF(Calendario!D47="TN";"🟣 OSCAR(TN)";""),IF(Calendario!D47="TT";"🟠 OSCAR(TT)";""),IF(Calendario!E47="";"🟢 CLARA";""),IF(Calendario!E47="CL";"🟤 CLARA(CL)";""),IF(Calendario!E47="FV";"🟡 CLARA(FV)";""),IF(Calendario!E47="TM";"🔵 CLARA(TM)";""),IF(Calendario!E47="TN";"🟣 CLARA(TN)";""),IF(Calendario!E47="TT";"🟠 CLARA(TT)";""),IF(Calendario!F47="";"🟢 ANNA";""),IF(Calendario!F47="CL";"🟤 ANNA(CL)";""),IF(Calendario!F47="FV";"🟡 ANNA(FV)";""),IF(Calendario!F47="TM";"🔵 ANNA(TM)";""),IF(Calendario!F47="TN";"🟣 ANNA(TN)";""),IF(Calendario!F47="TT";"🟠 ANNA(TT)";""),IF(Calendario!G47="";"🟢 PEPE";""),IF(Calendario!G47="CL";"🟤 PEPE(CL)";""),IF(Calendario!G47="FV";"🟡 PEPE(FV)";""),IF(Calendario!G47="TM";"🔵 PEPE(TM)";""),IF(Calendario!G47="TN";"🟣 PEPE(TN)";""),IF(Calendario!G47="TT";"🟠 PEPE(TT)";""),IF(Calendario!H47="";"🟢 IVAN";""),IF(Calendario!H47="CL";"🟤 IVAN(CL)";""),IF(Calendario!H47="FV";"🟡 IVAN(FV)";""),IF(Calendario!H47="TM";"🔵 IVAN(TM)";""),IF(Calendario!H47="TN";"🟣 IVAN(TN)";""),IF(Calendario!H47="TT";"🟠 IVAN(TT)";""),IF(Calendario!I47="";"🟢 YERAY";""),IF(Calendario!I47="CL";"🟤 YERAY(CL)";""),IF(Calendario!I47="FV";"🟡 YERAY(FV)";""),IF(Calendario!I47="TM";"🔵 YERAY(TM)";""),IF(Calendario!I47="TN";"🟣 YERAY(TN)";""),IF(Calendario!I47="TT";"🟠 YERAY(TT)";""))</f>
        <v/>
      </c>
      <c r="E14" s="47">
        <f>TEXTJOIN(CHAR(10);TRUE;TEXT(Calendario!A48,"DD"),IF(Calendario!C48="";"🟢 RESI";""),IF(Calendario!C48="CL";"🟤 RESI(CL)";""),IF(Calendario!C48="FV";"🟡 RESI(FV)";""),IF(Calendario!C48="TM";"🔵 RESI(TM)";""),IF(Calendario!C48="TN";"🟣 RESI(TN)";""),IF(Calendario!C48="TT";"🟠 RESI(TT)";""),IF(Calendario!D48="";"🟢 OSCAR";""),IF(Calendario!D48="CL";"🟤 OSCAR(CL)";""),IF(Calendario!D48="FV";"🟡 OSCAR(FV)";""),IF(Calendario!D48="TM";"🔵 OSCAR(TM)";""),IF(Calendario!D48="TN";"🟣 OSCAR(TN)";""),IF(Calendario!D48="TT";"🟠 OSCAR(TT)";""),IF(Calendario!E48="";"🟢 CLARA";""),IF(Calendario!E48="CL";"🟤 CLARA(CL)";""),IF(Calendario!E48="FV";"🟡 CLARA(FV)";""),IF(Calendario!E48="TM";"🔵 CLARA(TM)";""),IF(Calendario!E48="TN";"🟣 CLARA(TN)";""),IF(Calendario!E48="TT";"🟠 CLARA(TT)";""),IF(Calendario!F48="";"🟢 ANNA";""),IF(Calendario!F48="CL";"🟤 ANNA(CL)";""),IF(Calendario!F48="FV";"🟡 ANNA(FV)";""),IF(Calendario!F48="TM";"🔵 ANNA(TM)";""),IF(Calendario!F48="TN";"🟣 ANNA(TN)";""),IF(Calendario!F48="TT";"🟠 ANNA(TT)";""),IF(Calendario!G48="";"🟢 PEPE";""),IF(Calendario!G48="CL";"🟤 PEPE(CL)";""),IF(Calendario!G48="FV";"🟡 PEPE(FV)";""),IF(Calendario!G48="TM";"🔵 PEPE(TM)";""),IF(Calendario!G48="TN";"🟣 PEPE(TN)";""),IF(Calendario!G48="TT";"🟠 PEPE(TT)";""),IF(Calendario!H48="";"🟢 IVAN";""),IF(Calendario!H48="CL";"🟤 IVAN(CL)";""),IF(Calendario!H48="FV";"🟡 IVAN(FV)";""),IF(Calendario!H48="TM";"🔵 IVAN(TM)";""),IF(Calendario!H48="TN";"🟣 IVAN(TN)";""),IF(Calendario!H48="TT";"🟠 IVAN(TT)";""),IF(Calendario!I48="";"🟢 YERAY";""),IF(Calendario!I48="CL";"🟤 YERAY(CL)";""),IF(Calendario!I48="FV";"🟡 YERAY(FV)";""),IF(Calendario!I48="TM";"🔵 YERAY(TM)";""),IF(Calendario!I48="TN";"🟣 YERAY(TN)";""),IF(Calendario!I48="TT";"🟠 YERAY(TT)";""))</f>
        <v/>
      </c>
      <c r="F14" s="48">
        <f>TEXTJOIN(CHAR(10);TRUE;TEXT(Calendario!A49,"DD"),IF(Calendario!C49="";"🟢 RESI";""),IF(Calendario!C49="CL";"🟤 RESI(CL)";""),IF(Calendario!C49="FV";"🟡 RESI(FV)";""),IF(Calendario!C49="TM";"🔵 RESI(TM)";""),IF(Calendario!C49="TN";"🟣 RESI(TN)";""),IF(Calendario!C49="TT";"🟠 RESI(TT)";""),IF(Calendario!D49="";"🟢 OSCAR";""),IF(Calendario!D49="CL";"🟤 OSCAR(CL)";""),IF(Calendario!D49="FV";"🟡 OSCAR(FV)";""),IF(Calendario!D49="TM";"🔵 OSCAR(TM)";""),IF(Calendario!D49="TN";"🟣 OSCAR(TN)";""),IF(Calendario!D49="TT";"🟠 OSCAR(TT)";""),IF(Calendario!E49="";"🟢 CLARA";""),IF(Calendario!E49="CL";"🟤 CLARA(CL)";""),IF(Calendario!E49="FV";"🟡 CLARA(FV)";""),IF(Calendario!E49="TM";"🔵 CLARA(TM)";""),IF(Calendario!E49="TN";"🟣 CLARA(TN)";""),IF(Calendario!E49="TT";"🟠 CLARA(TT)";""),IF(Calendario!F49="";"🟢 ANNA";""),IF(Calendario!F49="CL";"🟤 ANNA(CL)";""),IF(Calendario!F49="FV";"🟡 ANNA(FV)";""),IF(Calendario!F49="TM";"🔵 ANNA(TM)";""),IF(Calendario!F49="TN";"🟣 ANNA(TN)";""),IF(Calendario!F49="TT";"🟠 ANNA(TT)";""),IF(Calendario!G49="";"🟢 PEPE";""),IF(Calendario!G49="CL";"🟤 PEPE(CL)";""),IF(Calendario!G49="FV";"🟡 PEPE(FV)";""),IF(Calendario!G49="TM";"🔵 PEPE(TM)";""),IF(Calendario!G49="TN";"🟣 PEPE(TN)";""),IF(Calendario!G49="TT";"🟠 PEPE(TT)";""),IF(Calendario!H49="";"🟢 IVAN";""),IF(Calendario!H49="CL";"🟤 IVAN(CL)";""),IF(Calendario!H49="FV";"🟡 IVAN(FV)";""),IF(Calendario!H49="TM";"🔵 IVAN(TM)";""),IF(Calendario!H49="TN";"🟣 IVAN(TN)";""),IF(Calendario!H49="TT";"🟠 IVAN(TT)";""),IF(Calendario!I49="";"🟢 YERAY";""),IF(Calendario!I49="CL";"🟤 YERAY(CL)";""),IF(Calendario!I49="FV";"🟡 YERAY(FV)";""),IF(Calendario!I49="TM";"🔵 YERAY(TM)";""),IF(Calendario!I49="TN";"🟣 YERAY(TN)";""),IF(Calendario!I49="TT";"🟠 YERAY(TT)";""))</f>
        <v/>
      </c>
      <c r="G14" s="48">
        <f>TEXTJOIN(CHAR(10);TRUE;TEXT(Calendario!A50,"DD"),IF(Calendario!C50="";"🟢 RESI";""),IF(Calendario!C50="CL";"🟤 RESI(CL)";""),IF(Calendario!C50="FV";"🟡 RESI(FV)";""),IF(Calendario!C50="TM";"🔵 RESI(TM)";""),IF(Calendario!C50="TN";"🟣 RESI(TN)";""),IF(Calendario!C50="TT";"🟠 RESI(TT)";""),IF(Calendario!D50="";"🟢 OSCAR";""),IF(Calendario!D50="CL";"🟤 OSCAR(CL)";""),IF(Calendario!D50="FV";"🟡 OSCAR(FV)";""),IF(Calendario!D50="TM";"🔵 OSCAR(TM)";""),IF(Calendario!D50="TN";"🟣 OSCAR(TN)";""),IF(Calendario!D50="TT";"🟠 OSCAR(TT)";""),IF(Calendario!E50="";"🟢 CLARA";""),IF(Calendario!E50="CL";"🟤 CLARA(CL)";""),IF(Calendario!E50="FV";"🟡 CLARA(FV)";""),IF(Calendario!E50="TM";"🔵 CLARA(TM)";""),IF(Calendario!E50="TN";"🟣 CLARA(TN)";""),IF(Calendario!E50="TT";"🟠 CLARA(TT)";""),IF(Calendario!F50="";"🟢 ANNA";""),IF(Calendario!F50="CL";"🟤 ANNA(CL)";""),IF(Calendario!F50="FV";"🟡 ANNA(FV)";""),IF(Calendario!F50="TM";"🔵 ANNA(TM)";""),IF(Calendario!F50="TN";"🟣 ANNA(TN)";""),IF(Calendario!F50="TT";"🟠 ANNA(TT)";""),IF(Calendario!G50="";"🟢 PEPE";""),IF(Calendario!G50="CL";"🟤 PEPE(CL)";""),IF(Calendario!G50="FV";"🟡 PEPE(FV)";""),IF(Calendario!G50="TM";"🔵 PEPE(TM)";""),IF(Calendario!G50="TN";"🟣 PEPE(TN)";""),IF(Calendario!G50="TT";"🟠 PEPE(TT)";""),IF(Calendario!H50="";"🟢 IVAN";""),IF(Calendario!H50="CL";"🟤 IVAN(CL)";""),IF(Calendario!H50="FV";"🟡 IVAN(FV)";""),IF(Calendario!H50="TM";"🔵 IVAN(TM)";""),IF(Calendario!H50="TN";"🟣 IVAN(TN)";""),IF(Calendario!H50="TT";"🟠 IVAN(TT)";""),IF(Calendario!I50="";"🟢 YERAY";""),IF(Calendario!I50="CL";"🟤 YERAY(CL)";""),IF(Calendario!I50="FV";"🟡 YERAY(FV)";""),IF(Calendario!I50="TM";"🔵 YERAY(TM)";""),IF(Calendario!I50="TN";"🟣 YERAY(TN)";""),IF(Calendario!I50="TT";"🟠 YERAY(TT)";""))</f>
        <v/>
      </c>
    </row>
    <row r="15" ht="130" customHeight="1">
      <c r="A15" s="47">
        <f>TEXTJOIN(CHAR(10);TRUE;TEXT(Calendario!A51,"DD"),IF(Calendario!C51="";"🟢 RESI";""),IF(Calendario!C51="CL";"🟤 RESI(CL)";""),IF(Calendario!C51="FV";"🟡 RESI(FV)";""),IF(Calendario!C51="TM";"🔵 RESI(TM)";""),IF(Calendario!C51="TN";"🟣 RESI(TN)";""),IF(Calendario!C51="TT";"🟠 RESI(TT)";""),IF(Calendario!D51="";"🟢 OSCAR";""),IF(Calendario!D51="CL";"🟤 OSCAR(CL)";""),IF(Calendario!D51="FV";"🟡 OSCAR(FV)";""),IF(Calendario!D51="TM";"🔵 OSCAR(TM)";""),IF(Calendario!D51="TN";"🟣 OSCAR(TN)";""),IF(Calendario!D51="TT";"🟠 OSCAR(TT)";""),IF(Calendario!E51="";"🟢 CLARA";""),IF(Calendario!E51="CL";"🟤 CLARA(CL)";""),IF(Calendario!E51="FV";"🟡 CLARA(FV)";""),IF(Calendario!E51="TM";"🔵 CLARA(TM)";""),IF(Calendario!E51="TN";"🟣 CLARA(TN)";""),IF(Calendario!E51="TT";"🟠 CLARA(TT)";""),IF(Calendario!F51="";"🟢 ANNA";""),IF(Calendario!F51="CL";"🟤 ANNA(CL)";""),IF(Calendario!F51="FV";"🟡 ANNA(FV)";""),IF(Calendario!F51="TM";"🔵 ANNA(TM)";""),IF(Calendario!F51="TN";"🟣 ANNA(TN)";""),IF(Calendario!F51="TT";"🟠 ANNA(TT)";""),IF(Calendario!G51="";"🟢 PEPE";""),IF(Calendario!G51="CL";"🟤 PEPE(CL)";""),IF(Calendario!G51="FV";"🟡 PEPE(FV)";""),IF(Calendario!G51="TM";"🔵 PEPE(TM)";""),IF(Calendario!G51="TN";"🟣 PEPE(TN)";""),IF(Calendario!G51="TT";"🟠 PEPE(TT)";""),IF(Calendario!H51="";"🟢 IVAN";""),IF(Calendario!H51="CL";"🟤 IVAN(CL)";""),IF(Calendario!H51="FV";"🟡 IVAN(FV)";""),IF(Calendario!H51="TM";"🔵 IVAN(TM)";""),IF(Calendario!H51="TN";"🟣 IVAN(TN)";""),IF(Calendario!H51="TT";"🟠 IVAN(TT)";""),IF(Calendario!I51="";"🟢 YERAY";""),IF(Calendario!I51="CL";"🟤 YERAY(CL)";""),IF(Calendario!I51="FV";"🟡 YERAY(FV)";""),IF(Calendario!I51="TM";"🔵 YERAY(TM)";""),IF(Calendario!I51="TN";"🟣 YERAY(TN)";""),IF(Calendario!I51="TT";"🟠 YERAY(TT)";""))</f>
        <v/>
      </c>
      <c r="B15" s="47">
        <f>TEXTJOIN(CHAR(10);TRUE;TEXT(Calendario!A52,"DD"),IF(Calendario!C52="";"🟢 RESI";""),IF(Calendario!C52="CL";"🟤 RESI(CL)";""),IF(Calendario!C52="FV";"🟡 RESI(FV)";""),IF(Calendario!C52="TM";"🔵 RESI(TM)";""),IF(Calendario!C52="TN";"🟣 RESI(TN)";""),IF(Calendario!C52="TT";"🟠 RESI(TT)";""),IF(Calendario!D52="";"🟢 OSCAR";""),IF(Calendario!D52="CL";"🟤 OSCAR(CL)";""),IF(Calendario!D52="FV";"🟡 OSCAR(FV)";""),IF(Calendario!D52="TM";"🔵 OSCAR(TM)";""),IF(Calendario!D52="TN";"🟣 OSCAR(TN)";""),IF(Calendario!D52="TT";"🟠 OSCAR(TT)";""),IF(Calendario!E52="";"🟢 CLARA";""),IF(Calendario!E52="CL";"🟤 CLARA(CL)";""),IF(Calendario!E52="FV";"🟡 CLARA(FV)";""),IF(Calendario!E52="TM";"🔵 CLARA(TM)";""),IF(Calendario!E52="TN";"🟣 CLARA(TN)";""),IF(Calendario!E52="TT";"🟠 CLARA(TT)";""),IF(Calendario!F52="";"🟢 ANNA";""),IF(Calendario!F52="CL";"🟤 ANNA(CL)";""),IF(Calendario!F52="FV";"🟡 ANNA(FV)";""),IF(Calendario!F52="TM";"🔵 ANNA(TM)";""),IF(Calendario!F52="TN";"🟣 ANNA(TN)";""),IF(Calendario!F52="TT";"🟠 ANNA(TT)";""),IF(Calendario!G52="";"🟢 PEPE";""),IF(Calendario!G52="CL";"🟤 PEPE(CL)";""),IF(Calendario!G52="FV";"🟡 PEPE(FV)";""),IF(Calendario!G52="TM";"🔵 PEPE(TM)";""),IF(Calendario!G52="TN";"🟣 PEPE(TN)";""),IF(Calendario!G52="TT";"🟠 PEPE(TT)";""),IF(Calendario!H52="";"🟢 IVAN";""),IF(Calendario!H52="CL";"🟤 IVAN(CL)";""),IF(Calendario!H52="FV";"🟡 IVAN(FV)";""),IF(Calendario!H52="TM";"🔵 IVAN(TM)";""),IF(Calendario!H52="TN";"🟣 IVAN(TN)";""),IF(Calendario!H52="TT";"🟠 IVAN(TT)";""),IF(Calendario!I52="";"🟢 YERAY";""),IF(Calendario!I52="CL";"🟤 YERAY(CL)";""),IF(Calendario!I52="FV";"🟡 YERAY(FV)";""),IF(Calendario!I52="TM";"🔵 YERAY(TM)";""),IF(Calendario!I52="TN";"🟣 YERAY(TN)";""),IF(Calendario!I52="TT";"🟠 YERAY(TT)";""))</f>
        <v/>
      </c>
      <c r="C15" s="47">
        <f>TEXTJOIN(CHAR(10);TRUE;TEXT(Calendario!A53,"DD"),IF(Calendario!C53="";"🟢 RESI";""),IF(Calendario!C53="CL";"🟤 RESI(CL)";""),IF(Calendario!C53="FV";"🟡 RESI(FV)";""),IF(Calendario!C53="TM";"🔵 RESI(TM)";""),IF(Calendario!C53="TN";"🟣 RESI(TN)";""),IF(Calendario!C53="TT";"🟠 RESI(TT)";""),IF(Calendario!D53="";"🟢 OSCAR";""),IF(Calendario!D53="CL";"🟤 OSCAR(CL)";""),IF(Calendario!D53="FV";"🟡 OSCAR(FV)";""),IF(Calendario!D53="TM";"🔵 OSCAR(TM)";""),IF(Calendario!D53="TN";"🟣 OSCAR(TN)";""),IF(Calendario!D53="TT";"🟠 OSCAR(TT)";""),IF(Calendario!E53="";"🟢 CLARA";""),IF(Calendario!E53="CL";"🟤 CLARA(CL)";""),IF(Calendario!E53="FV";"🟡 CLARA(FV)";""),IF(Calendario!E53="TM";"🔵 CLARA(TM)";""),IF(Calendario!E53="TN";"🟣 CLARA(TN)";""),IF(Calendario!E53="TT";"🟠 CLARA(TT)";""),IF(Calendario!F53="";"🟢 ANNA";""),IF(Calendario!F53="CL";"🟤 ANNA(CL)";""),IF(Calendario!F53="FV";"🟡 ANNA(FV)";""),IF(Calendario!F53="TM";"🔵 ANNA(TM)";""),IF(Calendario!F53="TN";"🟣 ANNA(TN)";""),IF(Calendario!F53="TT";"🟠 ANNA(TT)";""),IF(Calendario!G53="";"🟢 PEPE";""),IF(Calendario!G53="CL";"🟤 PEPE(CL)";""),IF(Calendario!G53="FV";"🟡 PEPE(FV)";""),IF(Calendario!G53="TM";"🔵 PEPE(TM)";""),IF(Calendario!G53="TN";"🟣 PEPE(TN)";""),IF(Calendario!G53="TT";"🟠 PEPE(TT)";""),IF(Calendario!H53="";"🟢 IVAN";""),IF(Calendario!H53="CL";"🟤 IVAN(CL)";""),IF(Calendario!H53="FV";"🟡 IVAN(FV)";""),IF(Calendario!H53="TM";"🔵 IVAN(TM)";""),IF(Calendario!H53="TN";"🟣 IVAN(TN)";""),IF(Calendario!H53="TT";"🟠 IVAN(TT)";""),IF(Calendario!I53="";"🟢 YERAY";""),IF(Calendario!I53="CL";"🟤 YERAY(CL)";""),IF(Calendario!I53="FV";"🟡 YERAY(FV)";""),IF(Calendario!I53="TM";"🔵 YERAY(TM)";""),IF(Calendario!I53="TN";"🟣 YERAY(TN)";""),IF(Calendario!I53="TT";"🟠 YERAY(TT)";""))</f>
        <v/>
      </c>
      <c r="D15" s="47">
        <f>TEXTJOIN(CHAR(10);TRUE;TEXT(Calendario!A54,"DD"),IF(Calendario!C54="";"🟢 RESI";""),IF(Calendario!C54="CL";"🟤 RESI(CL)";""),IF(Calendario!C54="FV";"🟡 RESI(FV)";""),IF(Calendario!C54="TM";"🔵 RESI(TM)";""),IF(Calendario!C54="TN";"🟣 RESI(TN)";""),IF(Calendario!C54="TT";"🟠 RESI(TT)";""),IF(Calendario!D54="";"🟢 OSCAR";""),IF(Calendario!D54="CL";"🟤 OSCAR(CL)";""),IF(Calendario!D54="FV";"🟡 OSCAR(FV)";""),IF(Calendario!D54="TM";"🔵 OSCAR(TM)";""),IF(Calendario!D54="TN";"🟣 OSCAR(TN)";""),IF(Calendario!D54="TT";"🟠 OSCAR(TT)";""),IF(Calendario!E54="";"🟢 CLARA";""),IF(Calendario!E54="CL";"🟤 CLARA(CL)";""),IF(Calendario!E54="FV";"🟡 CLARA(FV)";""),IF(Calendario!E54="TM";"🔵 CLARA(TM)";""),IF(Calendario!E54="TN";"🟣 CLARA(TN)";""),IF(Calendario!E54="TT";"🟠 CLARA(TT)";""),IF(Calendario!F54="";"🟢 ANNA";""),IF(Calendario!F54="CL";"🟤 ANNA(CL)";""),IF(Calendario!F54="FV";"🟡 ANNA(FV)";""),IF(Calendario!F54="TM";"🔵 ANNA(TM)";""),IF(Calendario!F54="TN";"🟣 ANNA(TN)";""),IF(Calendario!F54="TT";"🟠 ANNA(TT)";""),IF(Calendario!G54="";"🟢 PEPE";""),IF(Calendario!G54="CL";"🟤 PEPE(CL)";""),IF(Calendario!G54="FV";"🟡 PEPE(FV)";""),IF(Calendario!G54="TM";"🔵 PEPE(TM)";""),IF(Calendario!G54="TN";"🟣 PEPE(TN)";""),IF(Calendario!G54="TT";"🟠 PEPE(TT)";""),IF(Calendario!H54="";"🟢 IVAN";""),IF(Calendario!H54="CL";"🟤 IVAN(CL)";""),IF(Calendario!H54="FV";"🟡 IVAN(FV)";""),IF(Calendario!H54="TM";"🔵 IVAN(TM)";""),IF(Calendario!H54="TN";"🟣 IVAN(TN)";""),IF(Calendario!H54="TT";"🟠 IVAN(TT)";""),IF(Calendario!I54="";"🟢 YERAY";""),IF(Calendario!I54="CL";"🟤 YERAY(CL)";""),IF(Calendario!I54="FV";"🟡 YERAY(FV)";""),IF(Calendario!I54="TM";"🔵 YERAY(TM)";""),IF(Calendario!I54="TN";"🟣 YERAY(TN)";""),IF(Calendario!I54="TT";"🟠 YERAY(TT)";""))</f>
        <v/>
      </c>
      <c r="E15" s="47">
        <f>TEXTJOIN(CHAR(10);TRUE;TEXT(Calendario!A55,"DD"),IF(Calendario!C55="";"🟢 RESI";""),IF(Calendario!C55="CL";"🟤 RESI(CL)";""),IF(Calendario!C55="FV";"🟡 RESI(FV)";""),IF(Calendario!C55="TM";"🔵 RESI(TM)";""),IF(Calendario!C55="TN";"🟣 RESI(TN)";""),IF(Calendario!C55="TT";"🟠 RESI(TT)";""),IF(Calendario!D55="";"🟢 OSCAR";""),IF(Calendario!D55="CL";"🟤 OSCAR(CL)";""),IF(Calendario!D55="FV";"🟡 OSCAR(FV)";""),IF(Calendario!D55="TM";"🔵 OSCAR(TM)";""),IF(Calendario!D55="TN";"🟣 OSCAR(TN)";""),IF(Calendario!D55="TT";"🟠 OSCAR(TT)";""),IF(Calendario!E55="";"🟢 CLARA";""),IF(Calendario!E55="CL";"🟤 CLARA(CL)";""),IF(Calendario!E55="FV";"🟡 CLARA(FV)";""),IF(Calendario!E55="TM";"🔵 CLARA(TM)";""),IF(Calendario!E55="TN";"🟣 CLARA(TN)";""),IF(Calendario!E55="TT";"🟠 CLARA(TT)";""),IF(Calendario!F55="";"🟢 ANNA";""),IF(Calendario!F55="CL";"🟤 ANNA(CL)";""),IF(Calendario!F55="FV";"🟡 ANNA(FV)";""),IF(Calendario!F55="TM";"🔵 ANNA(TM)";""),IF(Calendario!F55="TN";"🟣 ANNA(TN)";""),IF(Calendario!F55="TT";"🟠 ANNA(TT)";""),IF(Calendario!G55="";"🟢 PEPE";""),IF(Calendario!G55="CL";"🟤 PEPE(CL)";""),IF(Calendario!G55="FV";"🟡 PEPE(FV)";""),IF(Calendario!G55="TM";"🔵 PEPE(TM)";""),IF(Calendario!G55="TN";"🟣 PEPE(TN)";""),IF(Calendario!G55="TT";"🟠 PEPE(TT)";""),IF(Calendario!H55="";"🟢 IVAN";""),IF(Calendario!H55="CL";"🟤 IVAN(CL)";""),IF(Calendario!H55="FV";"🟡 IVAN(FV)";""),IF(Calendario!H55="TM";"🔵 IVAN(TM)";""),IF(Calendario!H55="TN";"🟣 IVAN(TN)";""),IF(Calendario!H55="TT";"🟠 IVAN(TT)";""),IF(Calendario!I55="";"🟢 YERAY";""),IF(Calendario!I55="CL";"🟤 YERAY(CL)";""),IF(Calendario!I55="FV";"🟡 YERAY(FV)";""),IF(Calendario!I55="TM";"🔵 YERAY(TM)";""),IF(Calendario!I55="TN";"🟣 YERAY(TN)";""),IF(Calendario!I55="TT";"🟠 YERAY(TT)";""))</f>
        <v/>
      </c>
      <c r="F15" s="48">
        <f>TEXTJOIN(CHAR(10);TRUE;TEXT(Calendario!A56,"DD"),IF(Calendario!C56="";"🟢 RESI";""),IF(Calendario!C56="CL";"🟤 RESI(CL)";""),IF(Calendario!C56="FV";"🟡 RESI(FV)";""),IF(Calendario!C56="TM";"🔵 RESI(TM)";""),IF(Calendario!C56="TN";"🟣 RESI(TN)";""),IF(Calendario!C56="TT";"🟠 RESI(TT)";""),IF(Calendario!D56="";"🟢 OSCAR";""),IF(Calendario!D56="CL";"🟤 OSCAR(CL)";""),IF(Calendario!D56="FV";"🟡 OSCAR(FV)";""),IF(Calendario!D56="TM";"🔵 OSCAR(TM)";""),IF(Calendario!D56="TN";"🟣 OSCAR(TN)";""),IF(Calendario!D56="TT";"🟠 OSCAR(TT)";""),IF(Calendario!E56="";"🟢 CLARA";""),IF(Calendario!E56="CL";"🟤 CLARA(CL)";""),IF(Calendario!E56="FV";"🟡 CLARA(FV)";""),IF(Calendario!E56="TM";"🔵 CLARA(TM)";""),IF(Calendario!E56="TN";"🟣 CLARA(TN)";""),IF(Calendario!E56="TT";"🟠 CLARA(TT)";""),IF(Calendario!F56="";"🟢 ANNA";""),IF(Calendario!F56="CL";"🟤 ANNA(CL)";""),IF(Calendario!F56="FV";"🟡 ANNA(FV)";""),IF(Calendario!F56="TM";"🔵 ANNA(TM)";""),IF(Calendario!F56="TN";"🟣 ANNA(TN)";""),IF(Calendario!F56="TT";"🟠 ANNA(TT)";""),IF(Calendario!G56="";"🟢 PEPE";""),IF(Calendario!G56="CL";"🟤 PEPE(CL)";""),IF(Calendario!G56="FV";"🟡 PEPE(FV)";""),IF(Calendario!G56="TM";"🔵 PEPE(TM)";""),IF(Calendario!G56="TN";"🟣 PEPE(TN)";""),IF(Calendario!G56="TT";"🟠 PEPE(TT)";""),IF(Calendario!H56="";"🟢 IVAN";""),IF(Calendario!H56="CL";"🟤 IVAN(CL)";""),IF(Calendario!H56="FV";"🟡 IVAN(FV)";""),IF(Calendario!H56="TM";"🔵 IVAN(TM)";""),IF(Calendario!H56="TN";"🟣 IVAN(TN)";""),IF(Calendario!H56="TT";"🟠 IVAN(TT)";""),IF(Calendario!I56="";"🟢 YERAY";""),IF(Calendario!I56="CL";"🟤 YERAY(CL)";""),IF(Calendario!I56="FV";"🟡 YERAY(FV)";""),IF(Calendario!I56="TM";"🔵 YERAY(TM)";""),IF(Calendario!I56="TN";"🟣 YERAY(TN)";""),IF(Calendario!I56="TT";"🟠 YERAY(TT)";""))</f>
        <v/>
      </c>
      <c r="G15" s="48">
        <f>TEXTJOIN(CHAR(10);TRUE;TEXT(Calendario!A57,"DD"),IF(Calendario!C57="";"🟢 RESI";""),IF(Calendario!C57="CL";"🟤 RESI(CL)";""),IF(Calendario!C57="FV";"🟡 RESI(FV)";""),IF(Calendario!C57="TM";"🔵 RESI(TM)";""),IF(Calendario!C57="TN";"🟣 RESI(TN)";""),IF(Calendario!C57="TT";"🟠 RESI(TT)";""),IF(Calendario!D57="";"🟢 OSCAR";""),IF(Calendario!D57="CL";"🟤 OSCAR(CL)";""),IF(Calendario!D57="FV";"🟡 OSCAR(FV)";""),IF(Calendario!D57="TM";"🔵 OSCAR(TM)";""),IF(Calendario!D57="TN";"🟣 OSCAR(TN)";""),IF(Calendario!D57="TT";"🟠 OSCAR(TT)";""),IF(Calendario!E57="";"🟢 CLARA";""),IF(Calendario!E57="CL";"🟤 CLARA(CL)";""),IF(Calendario!E57="FV";"🟡 CLARA(FV)";""),IF(Calendario!E57="TM";"🔵 CLARA(TM)";""),IF(Calendario!E57="TN";"🟣 CLARA(TN)";""),IF(Calendario!E57="TT";"🟠 CLARA(TT)";""),IF(Calendario!F57="";"🟢 ANNA";""),IF(Calendario!F57="CL";"🟤 ANNA(CL)";""),IF(Calendario!F57="FV";"🟡 ANNA(FV)";""),IF(Calendario!F57="TM";"🔵 ANNA(TM)";""),IF(Calendario!F57="TN";"🟣 ANNA(TN)";""),IF(Calendario!F57="TT";"🟠 ANNA(TT)";""),IF(Calendario!G57="";"🟢 PEPE";""),IF(Calendario!G57="CL";"🟤 PEPE(CL)";""),IF(Calendario!G57="FV";"🟡 PEPE(FV)";""),IF(Calendario!G57="TM";"🔵 PEPE(TM)";""),IF(Calendario!G57="TN";"🟣 PEPE(TN)";""),IF(Calendario!G57="TT";"🟠 PEPE(TT)";""),IF(Calendario!H57="";"🟢 IVAN";""),IF(Calendario!H57="CL";"🟤 IVAN(CL)";""),IF(Calendario!H57="FV";"🟡 IVAN(FV)";""),IF(Calendario!H57="TM";"🔵 IVAN(TM)";""),IF(Calendario!H57="TN";"🟣 IVAN(TN)";""),IF(Calendario!H57="TT";"🟠 IVAN(TT)";""),IF(Calendario!I57="";"🟢 YERAY";""),IF(Calendario!I57="CL";"🟤 YERAY(CL)";""),IF(Calendario!I57="FV";"🟡 YERAY(FV)";""),IF(Calendario!I57="TM";"🔵 YERAY(TM)";""),IF(Calendario!I57="TN";"🟣 YERAY(TN)";""),IF(Calendario!I57="TT";"🟠 YERAY(TT)";""))</f>
        <v/>
      </c>
    </row>
    <row r="16" ht="130" customHeight="1">
      <c r="A16" s="47">
        <f>TEXTJOIN(CHAR(10);TRUE;TEXT(Calendario!A58,"DD"),IF(Calendario!C58="";"🟢 RESI";""),IF(Calendario!C58="CL";"🟤 RESI(CL)";""),IF(Calendario!C58="FV";"🟡 RESI(FV)";""),IF(Calendario!C58="TM";"🔵 RESI(TM)";""),IF(Calendario!C58="TN";"🟣 RESI(TN)";""),IF(Calendario!C58="TT";"🟠 RESI(TT)";""),IF(Calendario!D58="";"🟢 OSCAR";""),IF(Calendario!D58="CL";"🟤 OSCAR(CL)";""),IF(Calendario!D58="FV";"🟡 OSCAR(FV)";""),IF(Calendario!D58="TM";"🔵 OSCAR(TM)";""),IF(Calendario!D58="TN";"🟣 OSCAR(TN)";""),IF(Calendario!D58="TT";"🟠 OSCAR(TT)";""),IF(Calendario!E58="";"🟢 CLARA";""),IF(Calendario!E58="CL";"🟤 CLARA(CL)";""),IF(Calendario!E58="FV";"🟡 CLARA(FV)";""),IF(Calendario!E58="TM";"🔵 CLARA(TM)";""),IF(Calendario!E58="TN";"🟣 CLARA(TN)";""),IF(Calendario!E58="TT";"🟠 CLARA(TT)";""),IF(Calendario!F58="";"🟢 ANNA";""),IF(Calendario!F58="CL";"🟤 ANNA(CL)";""),IF(Calendario!F58="FV";"🟡 ANNA(FV)";""),IF(Calendario!F58="TM";"🔵 ANNA(TM)";""),IF(Calendario!F58="TN";"🟣 ANNA(TN)";""),IF(Calendario!F58="TT";"🟠 ANNA(TT)";""),IF(Calendario!G58="";"🟢 PEPE";""),IF(Calendario!G58="CL";"🟤 PEPE(CL)";""),IF(Calendario!G58="FV";"🟡 PEPE(FV)";""),IF(Calendario!G58="TM";"🔵 PEPE(TM)";""),IF(Calendario!G58="TN";"🟣 PEPE(TN)";""),IF(Calendario!G58="TT";"🟠 PEPE(TT)";""),IF(Calendario!H58="";"🟢 IVAN";""),IF(Calendario!H58="CL";"🟤 IVAN(CL)";""),IF(Calendario!H58="FV";"🟡 IVAN(FV)";""),IF(Calendario!H58="TM";"🔵 IVAN(TM)";""),IF(Calendario!H58="TN";"🟣 IVAN(TN)";""),IF(Calendario!H58="TT";"🟠 IVAN(TT)";""),IF(Calendario!I58="";"🟢 YERAY";""),IF(Calendario!I58="CL";"🟤 YERAY(CL)";""),IF(Calendario!I58="FV";"🟡 YERAY(FV)";""),IF(Calendario!I58="TM";"🔵 YERAY(TM)";""),IF(Calendario!I58="TN";"🟣 YERAY(TN)";""),IF(Calendario!I58="TT";"🟠 YERAY(TT)";""))</f>
        <v/>
      </c>
      <c r="B16" s="47">
        <f>TEXTJOIN(CHAR(10);TRUE;TEXT(Calendario!A59,"DD"),IF(Calendario!C59="";"🟢 RESI";""),IF(Calendario!C59="CL";"🟤 RESI(CL)";""),IF(Calendario!C59="FV";"🟡 RESI(FV)";""),IF(Calendario!C59="TM";"🔵 RESI(TM)";""),IF(Calendario!C59="TN";"🟣 RESI(TN)";""),IF(Calendario!C59="TT";"🟠 RESI(TT)";""),IF(Calendario!D59="";"🟢 OSCAR";""),IF(Calendario!D59="CL";"🟤 OSCAR(CL)";""),IF(Calendario!D59="FV";"🟡 OSCAR(FV)";""),IF(Calendario!D59="TM";"🔵 OSCAR(TM)";""),IF(Calendario!D59="TN";"🟣 OSCAR(TN)";""),IF(Calendario!D59="TT";"🟠 OSCAR(TT)";""),IF(Calendario!E59="";"🟢 CLARA";""),IF(Calendario!E59="CL";"🟤 CLARA(CL)";""),IF(Calendario!E59="FV";"🟡 CLARA(FV)";""),IF(Calendario!E59="TM";"🔵 CLARA(TM)";""),IF(Calendario!E59="TN";"🟣 CLARA(TN)";""),IF(Calendario!E59="TT";"🟠 CLARA(TT)";""),IF(Calendario!F59="";"🟢 ANNA";""),IF(Calendario!F59="CL";"🟤 ANNA(CL)";""),IF(Calendario!F59="FV";"🟡 ANNA(FV)";""),IF(Calendario!F59="TM";"🔵 ANNA(TM)";""),IF(Calendario!F59="TN";"🟣 ANNA(TN)";""),IF(Calendario!F59="TT";"🟠 ANNA(TT)";""),IF(Calendario!G59="";"🟢 PEPE";""),IF(Calendario!G59="CL";"🟤 PEPE(CL)";""),IF(Calendario!G59="FV";"🟡 PEPE(FV)";""),IF(Calendario!G59="TM";"🔵 PEPE(TM)";""),IF(Calendario!G59="TN";"🟣 PEPE(TN)";""),IF(Calendario!G59="TT";"🟠 PEPE(TT)";""),IF(Calendario!H59="";"🟢 IVAN";""),IF(Calendario!H59="CL";"🟤 IVAN(CL)";""),IF(Calendario!H59="FV";"🟡 IVAN(FV)";""),IF(Calendario!H59="TM";"🔵 IVAN(TM)";""),IF(Calendario!H59="TN";"🟣 IVAN(TN)";""),IF(Calendario!H59="TT";"🟠 IVAN(TT)";""),IF(Calendario!I59="";"🟢 YERAY";""),IF(Calendario!I59="CL";"🟤 YERAY(CL)";""),IF(Calendario!I59="FV";"🟡 YERAY(FV)";""),IF(Calendario!I59="TM";"🔵 YERAY(TM)";""),IF(Calendario!I59="TN";"🟣 YERAY(TN)";""),IF(Calendario!I59="TT";"🟠 YERAY(TT)";""))</f>
        <v/>
      </c>
      <c r="C16" s="47">
        <f>TEXTJOIN(CHAR(10);TRUE;TEXT(Calendario!A60,"DD"),IF(Calendario!C60="";"🟢 RESI";""),IF(Calendario!C60="CL";"🟤 RESI(CL)";""),IF(Calendario!C60="FV";"🟡 RESI(FV)";""),IF(Calendario!C60="TM";"🔵 RESI(TM)";""),IF(Calendario!C60="TN";"🟣 RESI(TN)";""),IF(Calendario!C60="TT";"🟠 RESI(TT)";""),IF(Calendario!D60="";"🟢 OSCAR";""),IF(Calendario!D60="CL";"🟤 OSCAR(CL)";""),IF(Calendario!D60="FV";"🟡 OSCAR(FV)";""),IF(Calendario!D60="TM";"🔵 OSCAR(TM)";""),IF(Calendario!D60="TN";"🟣 OSCAR(TN)";""),IF(Calendario!D60="TT";"🟠 OSCAR(TT)";""),IF(Calendario!E60="";"🟢 CLARA";""),IF(Calendario!E60="CL";"🟤 CLARA(CL)";""),IF(Calendario!E60="FV";"🟡 CLARA(FV)";""),IF(Calendario!E60="TM";"🔵 CLARA(TM)";""),IF(Calendario!E60="TN";"🟣 CLARA(TN)";""),IF(Calendario!E60="TT";"🟠 CLARA(TT)";""),IF(Calendario!F60="";"🟢 ANNA";""),IF(Calendario!F60="CL";"🟤 ANNA(CL)";""),IF(Calendario!F60="FV";"🟡 ANNA(FV)";""),IF(Calendario!F60="TM";"🔵 ANNA(TM)";""),IF(Calendario!F60="TN";"🟣 ANNA(TN)";""),IF(Calendario!F60="TT";"🟠 ANNA(TT)";""),IF(Calendario!G60="";"🟢 PEPE";""),IF(Calendario!G60="CL";"🟤 PEPE(CL)";""),IF(Calendario!G60="FV";"🟡 PEPE(FV)";""),IF(Calendario!G60="TM";"🔵 PEPE(TM)";""),IF(Calendario!G60="TN";"🟣 PEPE(TN)";""),IF(Calendario!G60="TT";"🟠 PEPE(TT)";""),IF(Calendario!H60="";"🟢 IVAN";""),IF(Calendario!H60="CL";"🟤 IVAN(CL)";""),IF(Calendario!H60="FV";"🟡 IVAN(FV)";""),IF(Calendario!H60="TM";"🔵 IVAN(TM)";""),IF(Calendario!H60="TN";"🟣 IVAN(TN)";""),IF(Calendario!H60="TT";"🟠 IVAN(TT)";""),IF(Calendario!I60="";"🟢 YERAY";""),IF(Calendario!I60="CL";"🟤 YERAY(CL)";""),IF(Calendario!I60="FV";"🟡 YERAY(FV)";""),IF(Calendario!I60="TM";"🔵 YERAY(TM)";""),IF(Calendario!I60="TN";"🟣 YERAY(TN)";""),IF(Calendario!I60="TT";"🟠 YERAY(TT)";""))</f>
        <v/>
      </c>
      <c r="D16" s="47">
        <f>TEXTJOIN(CHAR(10);TRUE;TEXT(Calendario!A61,"DD"),IF(Calendario!C61="";"🟢 RESI";""),IF(Calendario!C61="CL";"🟤 RESI(CL)";""),IF(Calendario!C61="FV";"🟡 RESI(FV)";""),IF(Calendario!C61="TM";"🔵 RESI(TM)";""),IF(Calendario!C61="TN";"🟣 RESI(TN)";""),IF(Calendario!C61="TT";"🟠 RESI(TT)";""),IF(Calendario!D61="";"🟢 OSCAR";""),IF(Calendario!D61="CL";"🟤 OSCAR(CL)";""),IF(Calendario!D61="FV";"🟡 OSCAR(FV)";""),IF(Calendario!D61="TM";"🔵 OSCAR(TM)";""),IF(Calendario!D61="TN";"🟣 OSCAR(TN)";""),IF(Calendario!D61="TT";"🟠 OSCAR(TT)";""),IF(Calendario!E61="";"🟢 CLARA";""),IF(Calendario!E61="CL";"🟤 CLARA(CL)";""),IF(Calendario!E61="FV";"🟡 CLARA(FV)";""),IF(Calendario!E61="TM";"🔵 CLARA(TM)";""),IF(Calendario!E61="TN";"🟣 CLARA(TN)";""),IF(Calendario!E61="TT";"🟠 CLARA(TT)";""),IF(Calendario!F61="";"🟢 ANNA";""),IF(Calendario!F61="CL";"🟤 ANNA(CL)";""),IF(Calendario!F61="FV";"🟡 ANNA(FV)";""),IF(Calendario!F61="TM";"🔵 ANNA(TM)";""),IF(Calendario!F61="TN";"🟣 ANNA(TN)";""),IF(Calendario!F61="TT";"🟠 ANNA(TT)";""),IF(Calendario!G61="";"🟢 PEPE";""),IF(Calendario!G61="CL";"🟤 PEPE(CL)";""),IF(Calendario!G61="FV";"🟡 PEPE(FV)";""),IF(Calendario!G61="TM";"🔵 PEPE(TM)";""),IF(Calendario!G61="TN";"🟣 PEPE(TN)";""),IF(Calendario!G61="TT";"🟠 PEPE(TT)";""),IF(Calendario!H61="";"🟢 IVAN";""),IF(Calendario!H61="CL";"🟤 IVAN(CL)";""),IF(Calendario!H61="FV";"🟡 IVAN(FV)";""),IF(Calendario!H61="TM";"🔵 IVAN(TM)";""),IF(Calendario!H61="TN";"🟣 IVAN(TN)";""),IF(Calendario!H61="TT";"🟠 IVAN(TT)";""),IF(Calendario!I61="";"🟢 YERAY";""),IF(Calendario!I61="CL";"🟤 YERAY(CL)";""),IF(Calendario!I61="FV";"🟡 YERAY(FV)";""),IF(Calendario!I61="TM";"🔵 YERAY(TM)";""),IF(Calendario!I61="TN";"🟣 YERAY(TN)";""),IF(Calendario!I61="TT";"🟠 YERAY(TT)";""))</f>
        <v/>
      </c>
      <c r="E16" s="47">
        <f>TEXTJOIN(CHAR(10);TRUE;TEXT(Calendario!A62,"DD"),IF(Calendario!C62="";"🟢 RESI";""),IF(Calendario!C62="CL";"🟤 RESI(CL)";""),IF(Calendario!C62="FV";"🟡 RESI(FV)";""),IF(Calendario!C62="TM";"🔵 RESI(TM)";""),IF(Calendario!C62="TN";"🟣 RESI(TN)";""),IF(Calendario!C62="TT";"🟠 RESI(TT)";""),IF(Calendario!D62="";"🟢 OSCAR";""),IF(Calendario!D62="CL";"🟤 OSCAR(CL)";""),IF(Calendario!D62="FV";"🟡 OSCAR(FV)";""),IF(Calendario!D62="TM";"🔵 OSCAR(TM)";""),IF(Calendario!D62="TN";"🟣 OSCAR(TN)";""),IF(Calendario!D62="TT";"🟠 OSCAR(TT)";""),IF(Calendario!E62="";"🟢 CLARA";""),IF(Calendario!E62="CL";"🟤 CLARA(CL)";""),IF(Calendario!E62="FV";"🟡 CLARA(FV)";""),IF(Calendario!E62="TM";"🔵 CLARA(TM)";""),IF(Calendario!E62="TN";"🟣 CLARA(TN)";""),IF(Calendario!E62="TT";"🟠 CLARA(TT)";""),IF(Calendario!F62="";"🟢 ANNA";""),IF(Calendario!F62="CL";"🟤 ANNA(CL)";""),IF(Calendario!F62="FV";"🟡 ANNA(FV)";""),IF(Calendario!F62="TM";"🔵 ANNA(TM)";""),IF(Calendario!F62="TN";"🟣 ANNA(TN)";""),IF(Calendario!F62="TT";"🟠 ANNA(TT)";""),IF(Calendario!G62="";"🟢 PEPE";""),IF(Calendario!G62="CL";"🟤 PEPE(CL)";""),IF(Calendario!G62="FV";"🟡 PEPE(FV)";""),IF(Calendario!G62="TM";"🔵 PEPE(TM)";""),IF(Calendario!G62="TN";"🟣 PEPE(TN)";""),IF(Calendario!G62="TT";"🟠 PEPE(TT)";""),IF(Calendario!H62="";"🟢 IVAN";""),IF(Calendario!H62="CL";"🟤 IVAN(CL)";""),IF(Calendario!H62="FV";"🟡 IVAN(FV)";""),IF(Calendario!H62="TM";"🔵 IVAN(TM)";""),IF(Calendario!H62="TN";"🟣 IVAN(TN)";""),IF(Calendario!H62="TT";"🟠 IVAN(TT)";""),IF(Calendario!I62="";"🟢 YERAY";""),IF(Calendario!I62="CL";"🟤 YERAY(CL)";""),IF(Calendario!I62="FV";"🟡 YERAY(FV)";""),IF(Calendario!I62="TM";"🔵 YERAY(TM)";""),IF(Calendario!I62="TN";"🟣 YERAY(TN)";""),IF(Calendario!I62="TT";"🟠 YERAY(TT)";""))</f>
        <v/>
      </c>
      <c r="F16" s="48">
        <f>TEXTJOIN(CHAR(10);TRUE;TEXT(Calendario!A63,"DD"),IF(Calendario!C63="";"🟢 RESI";""),IF(Calendario!C63="CL";"🟤 RESI(CL)";""),IF(Calendario!C63="FV";"🟡 RESI(FV)";""),IF(Calendario!C63="TM";"🔵 RESI(TM)";""),IF(Calendario!C63="TN";"🟣 RESI(TN)";""),IF(Calendario!C63="TT";"🟠 RESI(TT)";""),IF(Calendario!D63="";"🟢 OSCAR";""),IF(Calendario!D63="CL";"🟤 OSCAR(CL)";""),IF(Calendario!D63="FV";"🟡 OSCAR(FV)";""),IF(Calendario!D63="TM";"🔵 OSCAR(TM)";""),IF(Calendario!D63="TN";"🟣 OSCAR(TN)";""),IF(Calendario!D63="TT";"🟠 OSCAR(TT)";""),IF(Calendario!E63="";"🟢 CLARA";""),IF(Calendario!E63="CL";"🟤 CLARA(CL)";""),IF(Calendario!E63="FV";"🟡 CLARA(FV)";""),IF(Calendario!E63="TM";"🔵 CLARA(TM)";""),IF(Calendario!E63="TN";"🟣 CLARA(TN)";""),IF(Calendario!E63="TT";"🟠 CLARA(TT)";""),IF(Calendario!F63="";"🟢 ANNA";""),IF(Calendario!F63="CL";"🟤 ANNA(CL)";""),IF(Calendario!F63="FV";"🟡 ANNA(FV)";""),IF(Calendario!F63="TM";"🔵 ANNA(TM)";""),IF(Calendario!F63="TN";"🟣 ANNA(TN)";""),IF(Calendario!F63="TT";"🟠 ANNA(TT)";""),IF(Calendario!G63="";"🟢 PEPE";""),IF(Calendario!G63="CL";"🟤 PEPE(CL)";""),IF(Calendario!G63="FV";"🟡 PEPE(FV)";""),IF(Calendario!G63="TM";"🔵 PEPE(TM)";""),IF(Calendario!G63="TN";"🟣 PEPE(TN)";""),IF(Calendario!G63="TT";"🟠 PEPE(TT)";""),IF(Calendario!H63="";"🟢 IVAN";""),IF(Calendario!H63="CL";"🟤 IVAN(CL)";""),IF(Calendario!H63="FV";"🟡 IVAN(FV)";""),IF(Calendario!H63="TM";"🔵 IVAN(TM)";""),IF(Calendario!H63="TN";"🟣 IVAN(TN)";""),IF(Calendario!H63="TT";"🟠 IVAN(TT)";""),IF(Calendario!I63="";"🟢 YERAY";""),IF(Calendario!I63="CL";"🟤 YERAY(CL)";""),IF(Calendario!I63="FV";"🟡 YERAY(FV)";""),IF(Calendario!I63="TM";"🔵 YERAY(TM)";""),IF(Calendario!I63="TN";"🟣 YERAY(TN)";""),IF(Calendario!I63="TT";"🟠 YERAY(TT)";""))</f>
        <v/>
      </c>
      <c r="G16" s="48">
        <f>TEXTJOIN(CHAR(10);TRUE;TEXT(Calendario!A64,"DD"),IF(Calendario!C64="";"🟢 RESI";""),IF(Calendario!C64="CL";"🟤 RESI(CL)";""),IF(Calendario!C64="FV";"🟡 RESI(FV)";""),IF(Calendario!C64="TM";"🔵 RESI(TM)";""),IF(Calendario!C64="TN";"🟣 RESI(TN)";""),IF(Calendario!C64="TT";"🟠 RESI(TT)";""),IF(Calendario!D64="";"🟢 OSCAR";""),IF(Calendario!D64="CL";"🟤 OSCAR(CL)";""),IF(Calendario!D64="FV";"🟡 OSCAR(FV)";""),IF(Calendario!D64="TM";"🔵 OSCAR(TM)";""),IF(Calendario!D64="TN";"🟣 OSCAR(TN)";""),IF(Calendario!D64="TT";"🟠 OSCAR(TT)";""),IF(Calendario!E64="";"🟢 CLARA";""),IF(Calendario!E64="CL";"🟤 CLARA(CL)";""),IF(Calendario!E64="FV";"🟡 CLARA(FV)";""),IF(Calendario!E64="TM";"🔵 CLARA(TM)";""),IF(Calendario!E64="TN";"🟣 CLARA(TN)";""),IF(Calendario!E64="TT";"🟠 CLARA(TT)";""),IF(Calendario!F64="";"🟢 ANNA";""),IF(Calendario!F64="CL";"🟤 ANNA(CL)";""),IF(Calendario!F64="FV";"🟡 ANNA(FV)";""),IF(Calendario!F64="TM";"🔵 ANNA(TM)";""),IF(Calendario!F64="TN";"🟣 ANNA(TN)";""),IF(Calendario!F64="TT";"🟠 ANNA(TT)";""),IF(Calendario!G64="";"🟢 PEPE";""),IF(Calendario!G64="CL";"🟤 PEPE(CL)";""),IF(Calendario!G64="FV";"🟡 PEPE(FV)";""),IF(Calendario!G64="TM";"🔵 PEPE(TM)";""),IF(Calendario!G64="TN";"🟣 PEPE(TN)";""),IF(Calendario!G64="TT";"🟠 PEPE(TT)";""),IF(Calendario!H64="";"🟢 IVAN";""),IF(Calendario!H64="CL";"🟤 IVAN(CL)";""),IF(Calendario!H64="FV";"🟡 IVAN(FV)";""),IF(Calendario!H64="TM";"🔵 IVAN(TM)";""),IF(Calendario!H64="TN";"🟣 IVAN(TN)";""),IF(Calendario!H64="TT";"🟠 IVAN(TT)";""),IF(Calendario!I64="";"🟢 YERAY";""),IF(Calendario!I64="CL";"🟤 YERAY(CL)";""),IF(Calendario!I64="FV";"🟡 YERAY(FV)";""),IF(Calendario!I64="TM";"🔵 YERAY(TM)";""),IF(Calendario!I64="TN";"🟣 YERAY(TN)";""),IF(Calendario!I64="TT";"🟠 YERAY(TT)";""))</f>
        <v/>
      </c>
    </row>
    <row r="17" ht="130" customHeight="1">
      <c r="A17" s="47">
        <f>TEXTJOIN(CHAR(10);TRUE;TEXT(Calendario!A65,"DD"),IF(Calendario!C65="";"🟢 RESI";""),IF(Calendario!C65="CL";"🟤 RESI(CL)";""),IF(Calendario!C65="FV";"🟡 RESI(FV)";""),IF(Calendario!C65="TM";"🔵 RESI(TM)";""),IF(Calendario!C65="TN";"🟣 RESI(TN)";""),IF(Calendario!C65="TT";"🟠 RESI(TT)";""),IF(Calendario!D65="";"🟢 OSCAR";""),IF(Calendario!D65="CL";"🟤 OSCAR(CL)";""),IF(Calendario!D65="FV";"🟡 OSCAR(FV)";""),IF(Calendario!D65="TM";"🔵 OSCAR(TM)";""),IF(Calendario!D65="TN";"🟣 OSCAR(TN)";""),IF(Calendario!D65="TT";"🟠 OSCAR(TT)";""),IF(Calendario!E65="";"🟢 CLARA";""),IF(Calendario!E65="CL";"🟤 CLARA(CL)";""),IF(Calendario!E65="FV";"🟡 CLARA(FV)";""),IF(Calendario!E65="TM";"🔵 CLARA(TM)";""),IF(Calendario!E65="TN";"🟣 CLARA(TN)";""),IF(Calendario!E65="TT";"🟠 CLARA(TT)";""),IF(Calendario!F65="";"🟢 ANNA";""),IF(Calendario!F65="CL";"🟤 ANNA(CL)";""),IF(Calendario!F65="FV";"🟡 ANNA(FV)";""),IF(Calendario!F65="TM";"🔵 ANNA(TM)";""),IF(Calendario!F65="TN";"🟣 ANNA(TN)";""),IF(Calendario!F65="TT";"🟠 ANNA(TT)";""),IF(Calendario!G65="";"🟢 PEPE";""),IF(Calendario!G65="CL";"🟤 PEPE(CL)";""),IF(Calendario!G65="FV";"🟡 PEPE(FV)";""),IF(Calendario!G65="TM";"🔵 PEPE(TM)";""),IF(Calendario!G65="TN";"🟣 PEPE(TN)";""),IF(Calendario!G65="TT";"🟠 PEPE(TT)";""),IF(Calendario!H65="";"🟢 IVAN";""),IF(Calendario!H65="CL";"🟤 IVAN(CL)";""),IF(Calendario!H65="FV";"🟡 IVAN(FV)";""),IF(Calendario!H65="TM";"🔵 IVAN(TM)";""),IF(Calendario!H65="TN";"🟣 IVAN(TN)";""),IF(Calendario!H65="TT";"🟠 IVAN(TT)";""),IF(Calendario!I65="";"🟢 YERAY";""),IF(Calendario!I65="CL";"🟤 YERAY(CL)";""),IF(Calendario!I65="FV";"🟡 YERAY(FV)";""),IF(Calendario!I65="TM";"🔵 YERAY(TM)";""),IF(Calendario!I65="TN";"🟣 YERAY(TN)";""),IF(Calendario!I65="TT";"🟠 YERAY(TT)";""))</f>
        <v/>
      </c>
      <c r="B17" s="46" t="n"/>
      <c r="C17" s="46" t="n"/>
      <c r="D17" s="46" t="n"/>
      <c r="E17" s="46" t="n"/>
      <c r="F17" s="46" t="n"/>
      <c r="G17" s="46" t="n"/>
    </row>
  </sheetData>
  <mergeCells count="2">
    <mergeCell ref="A1:G1"/>
    <mergeCell ref="A10:G10"/>
  </mergeCells>
  <conditionalFormatting sqref="A3:G8">
    <cfRule type="expression" priority="1" dxfId="15">
      <formula>REGEXMATCH(A3,"🔵")</formula>
    </cfRule>
    <cfRule type="expression" priority="2" dxfId="16">
      <formula>REGEXMATCH(A3,"🟠")</formula>
    </cfRule>
    <cfRule type="expression" priority="3" dxfId="17">
      <formula>REGEXMATCH(A3,"🟣")</formula>
    </cfRule>
    <cfRule type="expression" priority="4" dxfId="18">
      <formula>REGEXMATCH(A3,"🟤")</formula>
    </cfRule>
    <cfRule type="expression" priority="5" dxfId="19">
      <formula>REGEXMATCH(A3,"🟢")</formula>
    </cfRule>
    <cfRule type="expression" priority="6" dxfId="20">
      <formula>REGEXMATCH(A3,"🟡")</formula>
    </cfRule>
  </conditionalFormatting>
  <conditionalFormatting sqref="F3:F8">
    <cfRule type="expression" priority="7" dxfId="14">
      <formula>TRUE</formula>
    </cfRule>
  </conditionalFormatting>
  <conditionalFormatting sqref="G3:G8">
    <cfRule type="expression" priority="8" dxfId="14">
      <formula>TRUE</formula>
    </cfRule>
  </conditionalFormatting>
  <conditionalFormatting sqref="A12:G17">
    <cfRule type="expression" priority="9" dxfId="15">
      <formula>REGEXMATCH(A12,"🔵")</formula>
    </cfRule>
    <cfRule type="expression" priority="10" dxfId="16">
      <formula>REGEXMATCH(A12,"🟠")</formula>
    </cfRule>
    <cfRule type="expression" priority="11" dxfId="17">
      <formula>REGEXMATCH(A12,"🟣")</formula>
    </cfRule>
    <cfRule type="expression" priority="12" dxfId="18">
      <formula>REGEXMATCH(A12,"🟤")</formula>
    </cfRule>
    <cfRule type="expression" priority="13" dxfId="19">
      <formula>REGEXMATCH(A12,"🟢")</formula>
    </cfRule>
    <cfRule type="expression" priority="14" dxfId="20">
      <formula>REGEXMATCH(A12,"🟡")</formula>
    </cfRule>
  </conditionalFormatting>
  <conditionalFormatting sqref="F12:F17">
    <cfRule type="expression" priority="15" dxfId="14">
      <formula>TRUE</formula>
    </cfRule>
  </conditionalFormatting>
  <conditionalFormatting sqref="G12:G17">
    <cfRule type="expression" priority="16" dxfId="14">
      <formula>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0" t="inlineStr">
        <is>
          <t>CALENDARIO DE DISPONIBILIDAD  —  JULIO &amp; AGOSTO 2026</t>
        </is>
      </c>
    </row>
    <row r="2">
      <c r="A2" t="inlineStr"/>
    </row>
    <row r="3">
      <c r="A3" s="51" t="inlineStr">
        <is>
          <t>COMO USARLO:</t>
        </is>
      </c>
    </row>
    <row r="4">
      <c r="A4" t="inlineStr"/>
    </row>
    <row r="5">
      <c r="A5" s="52" t="inlineStr">
        <is>
          <t>1. En 'Calendario', cada persona rellena su columna con el desplegable:</t>
        </is>
      </c>
    </row>
    <row r="6">
      <c r="A6" s="52" t="inlineStr">
        <is>
          <t xml:space="preserve">   TM(Trabajar) | TT(Trabajar) | TN(Trabajar) | FV(Fuera (p) | FN(Fuera (N) | OC(Ocupado) | RE(Recupera) | OT(Otros) | CL(Clases)</t>
        </is>
      </c>
    </row>
    <row r="7">
      <c r="A7" s="52" t="inlineStr">
        <is>
          <t xml:space="preserve">   (vacio = disponible)</t>
        </is>
      </c>
    </row>
    <row r="8">
      <c r="A8" t="inlineStr"/>
    </row>
    <row r="9">
      <c r="A9" s="52" t="inlineStr">
        <is>
          <t>2. Las demas hojas se actualizan SOLAS:</t>
        </is>
      </c>
    </row>
    <row r="10">
      <c r="A10" s="52" t="inlineStr">
        <is>
          <t xml:space="preserve">   Resumen -&gt; metricas del grupo</t>
        </is>
      </c>
    </row>
    <row r="11">
      <c r="A11" s="52" t="inlineStr">
        <is>
          <t xml:space="preserve">   JULIO -&gt; listado de quien puede cada dia</t>
        </is>
      </c>
    </row>
    <row r="12">
      <c r="A12" s="52" t="inlineStr">
        <is>
          <t xml:space="preserve">   AGOSTO -&gt; listado de quien puede cada dia</t>
        </is>
      </c>
    </row>
    <row r="13">
      <c r="A13" s="52" t="inlineStr">
        <is>
          <t xml:space="preserve">   Cuadricula -&gt; vista calendario con emojis de colores:</t>
        </is>
      </c>
    </row>
    <row r="14">
      <c r="A14" s="52" t="inlineStr">
        <is>
          <t xml:space="preserve">      🟢 = libre    🔵 = TM    🟠 = TT    🟣 = TN    🟡 = FV</t>
        </is>
      </c>
    </row>
    <row r="15">
      <c r="A15" s="52" t="inlineStr">
        <is>
          <t xml:space="preserve">   (FN/OC/RE/OT no aparecen = 100% no disponibles)</t>
        </is>
      </c>
    </row>
    <row r="16">
      <c r="A16" t="inlineStr"/>
    </row>
    <row r="17">
      <c r="A17" s="51" t="inlineStr">
        <is>
          <t>APPS SCRIPT</t>
        </is>
      </c>
    </row>
    <row r="18">
      <c r="A18" t="inlineStr"/>
    </row>
    <row r="19">
      <c r="A19" s="52" t="inlineStr">
        <is>
          <t>Instalacion (solo TU, luego funciona para todos):</t>
        </is>
      </c>
    </row>
    <row r="20">
      <c r="A20" s="52" t="inlineStr">
        <is>
          <t>1. Extensiones -&gt; Apps Script</t>
        </is>
      </c>
    </row>
    <row r="21">
      <c r="A21" s="52" t="inlineStr">
        <is>
          <t>2. Borra el codigo y pega el de abajo</t>
        </is>
      </c>
    </row>
    <row r="22">
      <c r="A22" s="52" t="inlineStr">
        <is>
          <t>3. Ctrl+S (guardar) -&gt; permisos (1a vez)</t>
        </is>
      </c>
    </row>
    <row r="23">
      <c r="A23" s="52" t="inlineStr">
        <is>
          <t>4. Vuelve a la hoja, recarga (F5) -&gt; menu '📅 Grupo'</t>
        </is>
      </c>
    </row>
    <row r="24">
      <c r="A24" t="inlineStr"/>
    </row>
    <row r="25">
      <c r="A25" s="53" t="inlineStr">
        <is>
          <t>PERMISOS (pantalla de 'no seguro'):</t>
        </is>
      </c>
    </row>
    <row r="26">
      <c r="A26" s="52" t="inlineStr">
        <is>
          <t xml:space="preserve">   Revisar permisos -&gt; Elegir cuenta -&gt; 'Avanzado' -&gt; 'Ir a [proyecto] (no seguro)' -&gt; 'Permitir'</t>
        </is>
      </c>
    </row>
    <row r="27">
      <c r="A27" t="inlineStr"/>
    </row>
    <row r="28">
      <c r="A28" s="54" t="inlineStr">
        <is>
          <t>NOTA: el script SE PIERDE si subes el .xlsx como nuevo archivo.</t>
        </is>
      </c>
    </row>
    <row r="29">
      <c r="A29" s="52" t="inlineStr">
        <is>
          <t xml:space="preserve">  Guarda 'codigo_apps_script.gs' por si necesitas re-importar.</t>
        </is>
      </c>
    </row>
    <row r="30">
      <c r="A30" t="inlineStr"/>
    </row>
    <row r="31">
      <c r="A31" s="13">
        <f>== CODIGO APPS SCRIPT ===</f>
        <v/>
      </c>
    </row>
    <row r="32">
      <c r="A32" t="inlineStr"/>
    </row>
    <row r="33">
      <c r="A33" s="55" t="inlineStr">
        <is>
          <t>function onOpen() {</t>
        </is>
      </c>
    </row>
    <row r="34">
      <c r="A34" s="55" t="inlineStr">
        <is>
          <t xml:space="preserve">      SpreadsheetApp.getUi()</t>
        </is>
      </c>
    </row>
    <row r="35">
      <c r="A35" s="55" t="inlineStr">
        <is>
          <t xml:space="preserve">        .createMenu('📅 Grupo')</t>
        </is>
      </c>
    </row>
    <row r="36">
      <c r="A36" s="55" t="inlineStr">
        <is>
          <t xml:space="preserve">        .addItem('Marcar rango de dias...', 'showDialog')</t>
        </is>
      </c>
    </row>
    <row r="37">
      <c r="A37" s="55" t="inlineStr">
        <is>
          <t xml:space="preserve">        .addSeparator()</t>
        </is>
      </c>
    </row>
    <row r="38">
      <c r="A38" s="55" t="inlineStr">
        <is>
          <t xml:space="preserve">        .addItem('Limpiar todo', 'clearAll')</t>
        </is>
      </c>
    </row>
    <row r="39">
      <c r="A39" s="55" t="inlineStr">
        <is>
          <t xml:space="preserve">        .addToUi();</t>
        </is>
      </c>
    </row>
    <row r="40">
      <c r="A40" s="55" t="inlineStr">
        <is>
          <t xml:space="preserve">    }</t>
        </is>
      </c>
    </row>
    <row r="41">
      <c r="A41" s="55" t="inlineStr"/>
    </row>
    <row r="42">
      <c r="A42" s="55" t="inlineStr">
        <is>
          <t xml:space="preserve">    function showDialog() {</t>
        </is>
      </c>
    </row>
    <row r="43">
      <c r="A43" s="55" t="inlineStr">
        <is>
          <t xml:space="preserve">      var html = HtmlService.createHtmlOutput(</t>
        </is>
      </c>
    </row>
    <row r="44">
      <c r="A44" s="55" t="inlineStr">
        <is>
          <t xml:space="preserve">        '&lt;style&gt;' +</t>
        </is>
      </c>
    </row>
    <row r="45">
      <c r="A45" s="55" t="inlineStr">
        <is>
          <t xml:space="preserve">        'body{font-family:Arial,sans-serif;padding:20px}' +</t>
        </is>
      </c>
    </row>
    <row r="46">
      <c r="A46" s="55" t="inlineStr">
        <is>
          <t xml:space="preserve">        'label{display:block;margin-top:12px;font-weight:bold;font-size:13px}' +</t>
        </is>
      </c>
    </row>
    <row r="47">
      <c r="A47" s="55" t="inlineStr">
        <is>
          <t xml:space="preserve">        'select,input{width:100%;padding:8px;margin-top:4px;border:1px solid #ccc;border-radius:4px;box-sizing:border-box}' +</t>
        </is>
      </c>
    </row>
    <row r="48">
      <c r="A48" s="55" t="inlineStr">
        <is>
          <t xml:space="preserve">        'button{margin-top:20px;padding:10px 20px;background:#27AE60;color:#fff;border:none;border-radius:4px;cursor:pointer;font-size:14px}' +</t>
        </is>
      </c>
    </row>
    <row r="49">
      <c r="A49" s="55" t="inlineStr">
        <is>
          <t xml:space="preserve">        'button:hover{background:#1E8449}' +</t>
        </is>
      </c>
    </row>
    <row r="50">
      <c r="A50" s="55" t="inlineStr">
        <is>
          <t xml:space="preserve">        '&lt;/style&gt;' +</t>
        </is>
      </c>
    </row>
    <row r="51">
      <c r="A51" s="55" t="inlineStr">
        <is>
          <t xml:space="preserve">        '&lt;h3&gt;Marcar disponibilidad en lote&lt;/h3&gt;' +</t>
        </is>
      </c>
    </row>
    <row r="52">
      <c r="A52" s="55" t="inlineStr">
        <is>
          <t xml:space="preserve">        '&lt;label&gt;Persona&lt;/label&gt;' +</t>
        </is>
      </c>
    </row>
    <row r="53">
      <c r="A53" s="55" t="inlineStr">
        <is>
          <t xml:space="preserve">        '&lt;select id="persona"&gt;' +</t>
        </is>
      </c>
    </row>
    <row r="54">
      <c r="A54" s="55" t="inlineStr">
        <is>
          <t xml:space="preserve">        '&lt;option&gt;RESI&lt;/option&gt;&lt;option&gt;OSCAR&lt;/option&gt;&lt;option&gt;CLARA&lt;/option&gt;&lt;option&gt;ANNA&lt;/option&gt;&lt;option&gt;PEPE&lt;/option&gt;&lt;option&gt;IVAN&lt;/option&gt;&lt;option&gt;YERAY&lt;/option&gt;' +</t>
        </is>
      </c>
    </row>
    <row r="55">
      <c r="A55" s="55" t="inlineStr">
        <is>
          <t xml:space="preserve">        '&lt;/select&gt;' +</t>
        </is>
      </c>
    </row>
    <row r="56">
      <c r="A56" s="55" t="inlineStr">
        <is>
          <t xml:space="preserve">        '&lt;label&gt;Codigo&lt;/label&gt;' +</t>
        </is>
      </c>
    </row>
    <row r="57">
      <c r="A57" s="55" t="inlineStr">
        <is>
          <t xml:space="preserve">        '&lt;select id="codigo"&gt;' +</t>
        </is>
      </c>
    </row>
    <row r="58">
      <c r="A58" s="55" t="inlineStr">
        <is>
          <t xml:space="preserve">        '&lt;option value="TM"&gt;TM - Trabajar manana (~08-15)&lt;/option&gt;&lt;option value="TT"&gt;TT - Trabajar tarde (~15-21)&lt;/option&gt;&lt;option value="TN"&gt;TN - Trabajar noche (~21-08)&lt;/option&gt;&lt;option value="FV"&gt;FV - Fuera (puedo volver)&lt;/option&gt;&lt;option value="FN"&gt;FN - Fuera (NO volver)&lt;/option&gt;&lt;option value="OC"&gt;OC - Ocupado&lt;/option&gt;&lt;option value="RE"&gt;RE - Recuperaciones&lt;/option&gt;&lt;option value="OT"&gt;OT - Otros&lt;/option&gt;&lt;option value="CL"&gt;CL - Clases&lt;/option&gt;' +</t>
        </is>
      </c>
    </row>
    <row r="59">
      <c r="A59" s="55" t="inlineStr">
        <is>
          <t xml:space="preserve">        '&lt;/select&gt;' +</t>
        </is>
      </c>
    </row>
    <row r="60">
      <c r="A60" s="55" t="inlineStr">
        <is>
          <t xml:space="preserve">        '&lt;label&gt;Fecha inicio&lt;/label&gt;' +</t>
        </is>
      </c>
    </row>
    <row r="61">
      <c r="A61" s="55" t="inlineStr">
        <is>
          <t xml:space="preserve">        '&lt;input type="date" id="inicio"&gt;' +</t>
        </is>
      </c>
    </row>
    <row r="62">
      <c r="A62" s="55" t="inlineStr">
        <is>
          <t xml:space="preserve">        '&lt;label&gt;Fecha fin&lt;/label&gt;' +</t>
        </is>
      </c>
    </row>
    <row r="63">
      <c r="A63" s="55" t="inlineStr">
        <is>
          <t xml:space="preserve">        '&lt;input type="date" id="fin"&gt;' +</t>
        </is>
      </c>
    </row>
    <row r="64">
      <c r="A64" s="55" t="inlineStr">
        <is>
          <t xml:space="preserve">        '&lt;button onclick="marcar()"&gt;Aplicar&lt;/button&gt;' +</t>
        </is>
      </c>
    </row>
    <row r="65">
      <c r="A65" s="55" t="inlineStr">
        <is>
          <t xml:space="preserve">        '&lt;div id="resultado" style="margin-top:15px;padding:10px;border-radius:4px;display:none"&gt;&lt;/div&gt;' +</t>
        </is>
      </c>
    </row>
    <row r="66">
      <c r="A66" s="55" t="inlineStr">
        <is>
          <t xml:space="preserve">        '&lt;script&gt;' +</t>
        </is>
      </c>
    </row>
    <row r="67">
      <c r="A67" s="55" t="inlineStr">
        <is>
          <t xml:space="preserve">        'function marcar(){var p=document.getElementById("persona").value;' +</t>
        </is>
      </c>
    </row>
    <row r="68">
      <c r="A68" s="55" t="inlineStr">
        <is>
          <t xml:space="preserve">        'var c=document.getElementById("codigo").value;' +</t>
        </is>
      </c>
    </row>
    <row r="69">
      <c r="A69" s="55" t="inlineStr">
        <is>
          <t xml:space="preserve">        'var i=document.getElementById("inicio").value;' +</t>
        </is>
      </c>
    </row>
    <row r="70">
      <c r="A70" s="55" t="inlineStr">
        <is>
          <t xml:space="preserve">        'var f=document.getElementById("fin").value;' +</t>
        </is>
      </c>
    </row>
    <row r="71">
      <c r="A71" s="55" t="inlineStr">
        <is>
          <t xml:space="preserve">        'if(!i||!f){var r=document.getElementById("resultado");' +</t>
        </is>
      </c>
    </row>
    <row r="72">
      <c r="A72" s="55" t="inlineStr">
        <is>
          <t xml:space="preserve">        'r.style.display="block";r.style.background="#FDEDEC";r.style.color="#E74C3C";' +</t>
        </is>
      </c>
    </row>
    <row r="73">
      <c r="A73" s="55" t="inlineStr">
        <is>
          <t xml:space="preserve">        'r.innerHTML="Selecciona fecha de inicio y fin";return}' +</t>
        </is>
      </c>
    </row>
    <row r="74">
      <c r="A74" s="55" t="inlineStr">
        <is>
          <t xml:space="preserve">        'google.script.run.withSuccessHandler(function(msg){' +</t>
        </is>
      </c>
    </row>
    <row r="75">
      <c r="A75" s="55" t="inlineStr">
        <is>
          <t xml:space="preserve">        'var r=document.getElementById("resultado");' +</t>
        </is>
      </c>
    </row>
    <row r="76">
      <c r="A76" s="55" t="inlineStr">
        <is>
          <t xml:space="preserve">        'r.style.display="block";r.style.background="#D5F5E3";r.style.color="#1E8449";' +</t>
        </is>
      </c>
    </row>
    <row r="77">
      <c r="A77" s="55" t="inlineStr">
        <is>
          <t xml:space="preserve">        'r.innerHTML=msg}).marcarRango(p,c,i,f)}' +</t>
        </is>
      </c>
    </row>
    <row r="78">
      <c r="A78" s="55" t="inlineStr">
        <is>
          <t xml:space="preserve">        '&lt;/script&gt;'</t>
        </is>
      </c>
    </row>
    <row r="79">
      <c r="A79" s="55" t="inlineStr">
        <is>
          <t xml:space="preserve">      ).setWidth(380).setHeight(440);</t>
        </is>
      </c>
    </row>
    <row r="80">
      <c r="A80" s="55" t="inlineStr">
        <is>
          <t xml:space="preserve">      SpreadsheetApp.getUi().showModalDialog(html, '📅 Marcar rango');</t>
        </is>
      </c>
    </row>
    <row r="81">
      <c r="A81" s="55" t="inlineStr">
        <is>
          <t xml:space="preserve">    }</t>
        </is>
      </c>
    </row>
    <row r="82">
      <c r="A82" s="55" t="inlineStr"/>
    </row>
    <row r="83">
      <c r="A83" s="55" t="inlineStr">
        <is>
          <t xml:space="preserve">    function marcarRango(persona, codigo, inicio, fin) {</t>
        </is>
      </c>
    </row>
    <row r="84">
      <c r="A84" s="55" t="inlineStr">
        <is>
          <t xml:space="preserve">      var sheet = SpreadsheetApp.getActiveSpreadsheet().getSheetByName('Calendario');</t>
        </is>
      </c>
    </row>
    <row r="85">
      <c r="A85" s="55" t="inlineStr">
        <is>
          <t xml:space="preserve">      if (!sheet) return 'Error: hoja Calendario no encontrada';</t>
        </is>
      </c>
    </row>
    <row r="86">
      <c r="A86" s="55" t="inlineStr">
        <is>
          <t xml:space="preserve">      var data = sheet.getDataRange().getValues();</t>
        </is>
      </c>
    </row>
    <row r="87">
      <c r="A87" s="55" t="inlineStr">
        <is>
          <t xml:space="preserve">      var headers = data[0];</t>
        </is>
      </c>
    </row>
    <row r="88">
      <c r="A88" s="55" t="inlineStr">
        <is>
          <t xml:space="preserve">      var col = -1;</t>
        </is>
      </c>
    </row>
    <row r="89">
      <c r="A89" s="55" t="inlineStr">
        <is>
          <t xml:space="preserve">      for (var h = 0; h &lt; headers.length; h++) {</t>
        </is>
      </c>
    </row>
    <row r="90">
      <c r="A90" s="55" t="inlineStr">
        <is>
          <t xml:space="preserve">        if (String(headers[h]).toUpperCase() === persona) { col = h + 1; break; }</t>
        </is>
      </c>
    </row>
    <row r="91">
      <c r="A91" s="55" t="inlineStr">
        <is>
          <t xml:space="preserve">      }</t>
        </is>
      </c>
    </row>
    <row r="92">
      <c r="A92" s="55" t="inlineStr">
        <is>
          <t xml:space="preserve">      if (col &lt; 3) return 'Error: persona "' + persona + '" no encontrada';</t>
        </is>
      </c>
    </row>
    <row r="93">
      <c r="A93" s="55" t="inlineStr">
        <is>
          <t xml:space="preserve">      var startDate = new Date(inicio);</t>
        </is>
      </c>
    </row>
    <row r="94">
      <c r="A94" s="55" t="inlineStr">
        <is>
          <t xml:space="preserve">      var endDate = new Date(fin);</t>
        </is>
      </c>
    </row>
    <row r="95">
      <c r="A95" s="55" t="inlineStr">
        <is>
          <t xml:space="preserve">      endDate.setDate(endDate.getDate() + 1);</t>
        </is>
      </c>
    </row>
    <row r="96">
      <c r="A96" s="55" t="inlineStr">
        <is>
          <t xml:space="preserve">      var count = 0;</t>
        </is>
      </c>
    </row>
    <row r="97">
      <c r="A97" s="55" t="inlineStr">
        <is>
          <t xml:space="preserve">      for (var i = 1; i &lt; data.length; i++) {</t>
        </is>
      </c>
    </row>
    <row r="98">
      <c r="A98" s="55" t="inlineStr">
        <is>
          <t xml:space="preserve">        var cellDate = data[i][0];</t>
        </is>
      </c>
    </row>
    <row r="99">
      <c r="A99" s="55" t="inlineStr">
        <is>
          <t xml:space="preserve">        if (cellDate instanceof Date &amp;&amp; cellDate &gt;= startDate &amp;&amp; cellDate &lt; endDate) {</t>
        </is>
      </c>
    </row>
    <row r="100">
      <c r="A100" s="55" t="inlineStr">
        <is>
          <t xml:space="preserve">          sheet.getRange(i + 1, col).setValue(codigo);</t>
        </is>
      </c>
    </row>
    <row r="101">
      <c r="A101" s="55" t="inlineStr">
        <is>
          <t xml:space="preserve">          count++;</t>
        </is>
      </c>
    </row>
    <row r="102">
      <c r="A102" s="55" t="inlineStr">
        <is>
          <t xml:space="preserve">        }</t>
        </is>
      </c>
    </row>
    <row r="103">
      <c r="A103" s="55" t="inlineStr">
        <is>
          <t xml:space="preserve">      }</t>
        </is>
      </c>
    </row>
    <row r="104">
      <c r="A104" s="55" t="inlineStr">
        <is>
          <t xml:space="preserve">      return 'Actualizados ' + count + ' dias como ' + codigo + ' para ' + persona;</t>
        </is>
      </c>
    </row>
    <row r="105">
      <c r="A105" s="55" t="inlineStr">
        <is>
          <t xml:space="preserve">    }</t>
        </is>
      </c>
    </row>
    <row r="106">
      <c r="A106" s="55" t="inlineStr"/>
    </row>
    <row r="107">
      <c r="A107" s="55" t="inlineStr">
        <is>
          <t xml:space="preserve">    function clearAll() {</t>
        </is>
      </c>
    </row>
    <row r="108">
      <c r="A108" s="55" t="inlineStr">
        <is>
          <t xml:space="preserve">      var ui = SpreadsheetApp.getUi();</t>
        </is>
      </c>
    </row>
    <row r="109">
      <c r="A109" s="55" t="inlineStr">
        <is>
          <t xml:space="preserve">      var r = ui.alert('Limpiar todo',</t>
        </is>
      </c>
    </row>
    <row r="110">
      <c r="A110" s="55" t="inlineStr">
        <is>
          <t xml:space="preserve">        'Esto borrara TODAS las celdas de disponibilidad. Continuar?',</t>
        </is>
      </c>
    </row>
    <row r="111">
      <c r="A111" s="55" t="inlineStr">
        <is>
          <t xml:space="preserve">        ui.ButtonSet.YES_NO);</t>
        </is>
      </c>
    </row>
    <row r="112">
      <c r="A112" s="55" t="inlineStr">
        <is>
          <t xml:space="preserve">      if (r === ui.Button.YES) {</t>
        </is>
      </c>
    </row>
    <row r="113">
      <c r="A113" s="55" t="inlineStr">
        <is>
          <t xml:space="preserve">        var sheet = SpreadsheetApp.getActiveSpreadsheet().getSheetByName('Calendario');</t>
        </is>
      </c>
    </row>
    <row r="114">
      <c r="A114" s="55" t="inlineStr">
        <is>
          <t xml:space="preserve">        var lastRow = sheet.getLastRow();</t>
        </is>
      </c>
    </row>
    <row r="115">
      <c r="A115" s="55" t="inlineStr">
        <is>
          <t xml:space="preserve">        var lastCol = sheet.getLastColumn();</t>
        </is>
      </c>
    </row>
    <row r="116">
      <c r="A116" s="55" t="inlineStr">
        <is>
          <t xml:space="preserve">        sheet.getRange('C2:' + sheet.getRange(1, lastCol).getA1Notation().replace(/[0-9]/g,'') + lastRow).clearContent();</t>
        </is>
      </c>
    </row>
    <row r="117">
      <c r="A117" s="55" t="inlineStr">
        <is>
          <t xml:space="preserve">        ui.alert('Listo', 'Calendario limpiado', ui.ButtonSet.OK);</t>
        </is>
      </c>
    </row>
    <row r="118">
      <c r="A118" s="55" t="inlineStr">
        <is>
          <t xml:space="preserve">      }</t>
        </is>
      </c>
    </row>
    <row r="119">
      <c r="A119" s="55" t="inlineStr">
        <is>
          <t xml:space="preserve">    }</t>
        </is>
      </c>
    </row>
    <row r="120">
      <c r="A120" t="inlineStr"/>
    </row>
    <row r="121">
      <c r="A121" s="13">
        <f>== FIN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2026-06-30T15:55:08Z</dcterms:created>
  <dcterms:modified xmlns:dcterms="http://purl.org/dc/terms/" xmlns:xsi="http://www.w3.org/2001/XMLSchema-instance" xsi:type="dcterms:W3CDTF">2026-06-30T15:55:08Z</dcterms:modified>
</cp:coreProperties>
</file>