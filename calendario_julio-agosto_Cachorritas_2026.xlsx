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Julio" sheetId="3" state="visible" r:id="rId3"/>
    <sheet xmlns:r="http://schemas.openxmlformats.org/officeDocument/2006/relationships" name="Agosto" sheetId="4" state="visible" r:id="rId4"/>
    <sheet xmlns:r="http://schemas.openxmlformats.org/officeDocument/2006/relationships" name="Cuadricula" sheetId="5" state="visible" r:id="rId5"/>
    <sheet xmlns:r="http://schemas.openxmlformats.org/officeDocument/2006/relationships" name="Instruc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3"/>
    </font>
    <font>
      <b val="1"/>
      <color rgb="00E74C3C"/>
    </font>
    <font>
      <b val="1"/>
      <color rgb="001B2631"/>
      <sz val="12"/>
    </font>
    <font>
      <b val="1"/>
      <color rgb="001B2631"/>
      <sz val="10"/>
    </font>
    <font>
      <b val="1"/>
      <color rgb="00FFFFFF"/>
      <sz val="10"/>
    </font>
    <font>
      <i val="1"/>
      <color rgb="001B2631"/>
      <sz val="10"/>
    </font>
    <font>
      <b val="1"/>
      <color rgb="00FFFFFF"/>
      <sz val="18"/>
    </font>
    <font>
      <b val="1"/>
      <color rgb="00FFFFFF"/>
      <sz val="9"/>
    </font>
    <font>
      <b val="1"/>
      <color rgb="001E8449"/>
      <sz val="16"/>
    </font>
    <font>
      <i val="1"/>
      <color rgb="007F8C8D"/>
      <sz val="9"/>
    </font>
    <font>
      <b val="1"/>
      <color rgb="001E8449"/>
      <sz val="11"/>
    </font>
    <font>
      <b val="1"/>
      <color rgb="00FFFFFF"/>
      <sz val="14"/>
    </font>
    <font>
      <color rgb="001B2631"/>
      <sz val="9"/>
    </font>
    <font>
      <b val="1"/>
      <color rgb="001B2631"/>
      <sz val="18"/>
    </font>
    <font>
      <b val="1"/>
      <color rgb="002980B9"/>
      <sz val="13"/>
    </font>
    <font>
      <sz val="11"/>
    </font>
    <font>
      <b val="1"/>
      <color rgb="00E74C3C"/>
      <sz val="11"/>
    </font>
    <font>
      <b val="1"/>
      <sz val="11"/>
    </font>
    <font>
      <name val="Consolas"/>
      <color rgb="001B2631"/>
      <sz val="10"/>
    </font>
  </fonts>
  <fills count="2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980B9"/>
        <bgColor rgb="002980B9"/>
      </patternFill>
    </fill>
    <fill>
      <patternFill patternType="solid">
        <fgColor rgb="00AED6F1"/>
        <bgColor rgb="00AED6F1"/>
      </patternFill>
    </fill>
    <fill>
      <patternFill patternType="solid">
        <fgColor rgb="00D6EAF8"/>
        <bgColor rgb="00D6EAF8"/>
      </patternFill>
    </fill>
    <fill>
      <patternFill patternType="solid">
        <fgColor rgb="00F2F3F4"/>
        <bgColor rgb="00F2F3F4"/>
      </patternFill>
    </fill>
    <fill>
      <patternFill patternType="solid">
        <fgColor rgb="001E8449"/>
        <bgColor rgb="001E8449"/>
      </patternFill>
    </fill>
    <fill>
      <patternFill patternType="solid">
        <fgColor rgb="00A9DFBF"/>
        <bgColor rgb="00A9DFBF"/>
      </patternFill>
    </fill>
    <fill>
      <patternFill patternType="solid">
        <fgColor rgb="00D5F5E3"/>
        <bgColor rgb="00D5F5E3"/>
      </patternFill>
    </fill>
    <fill>
      <patternFill patternType="solid">
        <fgColor rgb="00B6D7A8"/>
        <bgColor rgb="00B6D7A8"/>
      </patternFill>
    </fill>
    <fill>
      <patternFill patternType="solid">
        <fgColor rgb="006AA84F"/>
        <bgColor rgb="006AA84F"/>
      </patternFill>
    </fill>
    <fill>
      <patternFill patternType="solid">
        <fgColor rgb="0038761D"/>
        <bgColor rgb="0038761D"/>
      </patternFill>
    </fill>
    <fill>
      <patternFill patternType="solid">
        <fgColor rgb="00F6B26B"/>
        <bgColor rgb="00F6B26B"/>
      </patternFill>
    </fill>
    <fill>
      <patternFill patternType="solid">
        <fgColor rgb="00E06666"/>
        <bgColor rgb="00E06666"/>
      </patternFill>
    </fill>
    <fill>
      <patternFill patternType="solid">
        <fgColor rgb="00717D7E"/>
        <bgColor rgb="00717D7E"/>
      </patternFill>
    </fill>
    <fill>
      <patternFill patternType="solid">
        <fgColor rgb="008E44AD"/>
        <bgColor rgb="008E44AD"/>
      </patternFill>
    </fill>
    <fill>
      <patternFill patternType="solid">
        <fgColor rgb="0017A589"/>
        <bgColor rgb="0017A589"/>
      </patternFill>
    </fill>
    <fill>
      <patternFill patternType="solid">
        <fgColor rgb="00E67E22"/>
        <bgColor rgb="00E67E22"/>
      </patternFill>
    </fill>
    <fill>
      <patternFill patternType="solid">
        <fgColor rgb="001B2631"/>
        <bgColor rgb="001B2631"/>
      </patternFill>
    </fill>
    <fill>
      <patternFill patternType="solid">
        <fgColor rgb="0034495E"/>
        <bgColor rgb="0034495E"/>
      </patternFill>
    </fill>
    <fill>
      <patternFill patternType="solid">
        <fgColor rgb="00E8F8F5"/>
        <bgColor rgb="00E8F8F5"/>
      </patternFill>
    </fill>
    <fill>
      <patternFill patternType="solid">
        <fgColor rgb="00F8F9FA"/>
        <bgColor rgb="00F8F9FA"/>
      </patternFill>
    </fill>
    <fill>
      <patternFill patternType="solid">
        <fgColor rgb="001A5276"/>
        <bgColor rgb="001A5276"/>
      </patternFill>
    </fill>
    <fill>
      <patternFill patternType="solid">
        <fgColor rgb="000E6655"/>
        <bgColor rgb="000E6655"/>
      </patternFill>
    </fill>
    <fill>
      <patternFill patternType="solid">
        <fgColor rgb="00F9F9F9"/>
        <bgColor rgb="00F9F9F9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165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0" fillId="8" borderId="1" pivotButton="0" quotePrefix="0" xfId="0"/>
    <xf numFmtId="165" fontId="0" fillId="9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1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11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19" borderId="0" applyAlignment="1" pivotButton="0" quotePrefix="0" xfId="0">
      <alignment horizontal="left" vertical="center"/>
    </xf>
    <xf numFmtId="0" fontId="9" fillId="20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 wrapText="1"/>
    </xf>
    <xf numFmtId="0" fontId="11" fillId="0" borderId="0" pivotButton="0" quotePrefix="0" xfId="0"/>
    <xf numFmtId="165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5" fontId="0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2" fillId="21" borderId="1" applyAlignment="1" pivotButton="0" quotePrefix="0" xfId="0">
      <alignment horizontal="center" vertical="center"/>
    </xf>
    <xf numFmtId="9" fontId="12" fillId="21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24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center" vertical="center"/>
    </xf>
    <xf numFmtId="0" fontId="0" fillId="25" borderId="1" pivotButton="0" quotePrefix="0" xfId="0"/>
    <xf numFmtId="0" fontId="14" fillId="0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left" vertical="center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dxfs count="21">
    <dxf>
      <fill>
        <patternFill patternType="solid">
          <fgColor rgb="00B6D7A8"/>
          <bgColor rgb="00B6D7A8"/>
        </patternFill>
      </fill>
    </dxf>
    <dxf>
      <fill>
        <patternFill patternType="solid">
          <fgColor rgb="006AA84F"/>
          <bgColor rgb="006AA84F"/>
        </patternFill>
      </fill>
    </dxf>
    <dxf>
      <font>
        <b val="1"/>
        <color rgb="00FFFFFF"/>
        <sz val="10"/>
      </font>
      <fill>
        <patternFill patternType="solid">
          <fgColor rgb="0038761D"/>
          <bgColor rgb="0038761D"/>
        </patternFill>
      </fill>
    </dxf>
    <dxf>
      <fill>
        <patternFill patternType="solid">
          <fgColor rgb="00F6B26B"/>
          <bgColor rgb="00F6B26B"/>
        </patternFill>
      </fill>
    </dxf>
    <dxf>
      <font>
        <b val="1"/>
        <color rgb="00FFFFFF"/>
        <sz val="10"/>
      </font>
      <fill>
        <patternFill patternType="solid">
          <fgColor rgb="00E06666"/>
          <bgColor rgb="00E06666"/>
        </patternFill>
      </fill>
    </dxf>
    <dxf>
      <font>
        <b val="1"/>
        <color rgb="00FFFFFF"/>
        <sz val="10"/>
      </font>
      <fill>
        <patternFill patternType="solid">
          <fgColor rgb="00717D7E"/>
          <bgColor rgb="00717D7E"/>
        </patternFill>
      </fill>
    </dxf>
    <dxf>
      <font>
        <b val="1"/>
        <color rgb="00FFFFFF"/>
        <sz val="10"/>
      </font>
      <fill>
        <patternFill patternType="solid">
          <fgColor rgb="008E44AD"/>
          <bgColor rgb="008E44AD"/>
        </patternFill>
      </fill>
    </dxf>
    <dxf>
      <font>
        <b val="1"/>
        <color rgb="00FFFFFF"/>
        <sz val="10"/>
      </font>
      <fill>
        <patternFill patternType="solid">
          <fgColor rgb="0017A589"/>
          <bgColor rgb="0017A589"/>
        </patternFill>
      </fill>
    </dxf>
    <dxf>
      <font>
        <b val="1"/>
        <color rgb="00FFFFFF"/>
        <sz val="10"/>
      </font>
      <fill>
        <patternFill patternType="solid">
          <fgColor rgb="00E67E22"/>
          <bgColor rgb="00E67E22"/>
        </patternFill>
      </fill>
    </dxf>
    <dxf>
      <font>
        <b val="1"/>
        <color rgb="00FFFFFF"/>
        <sz val="11"/>
      </font>
      <fill>
        <patternFill patternType="solid">
          <fgColor rgb="001E8449"/>
          <bgColor rgb="001E8449"/>
        </patternFill>
      </fill>
    </dxf>
    <dxf>
      <font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color rgb="001B2631"/>
        <sz val="11"/>
      </font>
      <fill>
        <patternFill patternType="solid">
          <fgColor rgb="0082E0AA"/>
          <bgColor rgb="0082E0AA"/>
        </patternFill>
      </fill>
    </dxf>
    <dxf>
      <font>
        <color rgb="001B2631"/>
        <sz val="11"/>
      </font>
      <fill>
        <patternFill patternType="solid">
          <fgColor rgb="00ABEBC6"/>
          <bgColor rgb="00ABEBC6"/>
        </patternFill>
      </fill>
    </dxf>
    <dxf>
      <font>
        <b val="1"/>
        <color rgb="00FFFFFF"/>
      </font>
      <fill>
        <patternFill patternType="solid">
          <fgColor rgb="00E06666"/>
          <bgColor rgb="00E06666"/>
        </patternFill>
      </fill>
    </dxf>
    <dxf>
      <fill>
        <patternFill patternType="solid">
          <fgColor rgb="00F2F3F4"/>
          <bgColor rgb="00F2F3F4"/>
        </patternFill>
      </fill>
    </dxf>
    <dxf>
      <fill>
        <patternFill patternType="solid">
          <fgColor rgb="00D6EAF8"/>
          <bgColor rgb="00D6EAF8"/>
        </patternFill>
      </fill>
    </dxf>
    <dxf>
      <fill>
        <patternFill patternType="solid">
          <fgColor rgb="00FDEBD0"/>
          <bgColor rgb="00FDEBD0"/>
        </patternFill>
      </fill>
    </dxf>
    <dxf>
      <fill>
        <patternFill patternType="solid">
          <fgColor rgb="00E8DAEF"/>
          <bgColor rgb="00E8DAEF"/>
        </patternFill>
      </fill>
    </dxf>
    <dxf>
      <fill>
        <patternFill patternType="solid">
          <fgColor rgb="00F5CBA7"/>
          <bgColor rgb="00F5CBA7"/>
        </patternFill>
      </fill>
    </dxf>
    <dxf>
      <fill>
        <patternFill patternType="solid">
          <fgColor rgb="00D5F5E3"/>
          <bgColor rgb="00D5F5E3"/>
        </patternFill>
      </fill>
    </dxf>
    <dxf>
      <fill>
        <patternFill patternType="solid">
          <fgColor rgb="00FEF9E7"/>
          <bgColor rgb="00FEF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980B9"/>
    <outlinePr summaryBelow="1" summaryRight="1"/>
    <pageSetUpPr/>
  </sheetPr>
  <dimension ref="A1:H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2" customHeight="1">
      <c r="A1" s="1" t="inlineStr">
        <is>
          <t>Fecha</t>
        </is>
      </c>
      <c r="B1" s="1" t="inlineStr">
        <is>
          <t>Dia</t>
        </is>
      </c>
      <c r="C1" s="1" t="inlineStr">
        <is>
          <t>SUSANNA</t>
        </is>
      </c>
      <c r="D1" s="1" t="inlineStr">
        <is>
          <t>ZUA</t>
        </is>
      </c>
      <c r="E1" s="1" t="inlineStr">
        <is>
          <t>PEPE</t>
        </is>
      </c>
      <c r="F1" s="1" t="inlineStr">
        <is>
          <t>ANTO</t>
        </is>
      </c>
      <c r="G1" s="1" t="inlineStr">
        <is>
          <t>ELIAS</t>
        </is>
      </c>
      <c r="H1" s="1" t="inlineStr">
        <is>
          <t>CRIS</t>
        </is>
      </c>
    </row>
    <row r="2" ht="28" customHeight="1">
      <c r="A2" s="2" t="inlineStr">
        <is>
          <t xml:space="preserve">  JULIO 2026</t>
        </is>
      </c>
      <c r="B2" s="3" t="n"/>
      <c r="C2" s="4" t="n"/>
      <c r="D2" s="4" t="n"/>
      <c r="E2" s="4" t="n"/>
      <c r="F2" s="4" t="n"/>
      <c r="G2" s="4" t="n"/>
      <c r="H2" s="4" t="n"/>
    </row>
    <row r="3">
      <c r="A3" s="5" t="n">
        <v>46204</v>
      </c>
      <c r="B3" s="6" t="inlineStr">
        <is>
          <t>Mie</t>
        </is>
      </c>
      <c r="C3" s="6" t="n"/>
      <c r="D3" s="6" t="n"/>
      <c r="E3" s="6" t="n"/>
      <c r="F3" s="6" t="n"/>
      <c r="G3" s="6" t="n"/>
      <c r="H3" s="6" t="n"/>
    </row>
    <row r="4">
      <c r="A4" s="5" t="n">
        <v>46205</v>
      </c>
      <c r="B4" s="6" t="inlineStr">
        <is>
          <t>Jue</t>
        </is>
      </c>
      <c r="C4" s="6" t="n"/>
      <c r="D4" s="6" t="n"/>
      <c r="E4" s="6" t="n"/>
      <c r="F4" s="6" t="n"/>
      <c r="G4" s="6" t="n"/>
      <c r="H4" s="6" t="n"/>
    </row>
    <row r="5">
      <c r="A5" s="5" t="n">
        <v>46206</v>
      </c>
      <c r="B5" s="6" t="inlineStr">
        <is>
          <t>Vie</t>
        </is>
      </c>
      <c r="C5" s="6" t="n"/>
      <c r="D5" s="6" t="n"/>
      <c r="E5" s="6" t="n"/>
      <c r="F5" s="6" t="n"/>
      <c r="G5" s="6" t="n"/>
      <c r="H5" s="6" t="n"/>
    </row>
    <row r="6">
      <c r="A6" s="7" t="n">
        <v>46207</v>
      </c>
      <c r="B6" s="8" t="inlineStr">
        <is>
          <t>Sab</t>
        </is>
      </c>
      <c r="C6" s="6" t="n"/>
      <c r="D6" s="6" t="n"/>
      <c r="E6" s="6" t="n"/>
      <c r="F6" s="6" t="n"/>
      <c r="G6" s="6" t="n"/>
      <c r="H6" s="6" t="n"/>
    </row>
    <row r="7">
      <c r="A7" s="7" t="n">
        <v>46208</v>
      </c>
      <c r="B7" s="9" t="inlineStr">
        <is>
          <t>Dom</t>
        </is>
      </c>
      <c r="C7" s="6" t="n"/>
      <c r="D7" s="6" t="n"/>
      <c r="E7" s="6" t="n"/>
      <c r="F7" s="6" t="n"/>
      <c r="G7" s="6" t="n"/>
      <c r="H7" s="6" t="n"/>
    </row>
    <row r="8">
      <c r="A8" s="5" t="n">
        <v>46209</v>
      </c>
      <c r="B8" s="6" t="inlineStr">
        <is>
          <t>Lun</t>
        </is>
      </c>
      <c r="C8" s="6" t="n"/>
      <c r="D8" s="6" t="n"/>
      <c r="E8" s="6" t="n"/>
      <c r="F8" s="6" t="n"/>
      <c r="G8" s="6" t="n"/>
      <c r="H8" s="6" t="n"/>
    </row>
    <row r="9">
      <c r="A9" s="5" t="n">
        <v>46210</v>
      </c>
      <c r="B9" s="6" t="inlineStr">
        <is>
          <t>Mar</t>
        </is>
      </c>
      <c r="C9" s="6" t="n"/>
      <c r="D9" s="6" t="n"/>
      <c r="E9" s="6" t="n"/>
      <c r="F9" s="6" t="n"/>
      <c r="G9" s="6" t="n"/>
      <c r="H9" s="6" t="n"/>
    </row>
    <row r="10">
      <c r="A10" s="5" t="n">
        <v>46211</v>
      </c>
      <c r="B10" s="6" t="inlineStr">
        <is>
          <t>Mie</t>
        </is>
      </c>
      <c r="C10" s="6" t="n"/>
      <c r="D10" s="6" t="n"/>
      <c r="E10" s="6" t="n"/>
      <c r="F10" s="6" t="n"/>
      <c r="G10" s="6" t="n"/>
      <c r="H10" s="6" t="n"/>
    </row>
    <row r="11">
      <c r="A11" s="5" t="n">
        <v>46212</v>
      </c>
      <c r="B11" s="6" t="inlineStr">
        <is>
          <t>Jue</t>
        </is>
      </c>
      <c r="C11" s="6" t="n"/>
      <c r="D11" s="6" t="n"/>
      <c r="E11" s="6" t="n"/>
      <c r="F11" s="6" t="n"/>
      <c r="G11" s="6" t="n"/>
      <c r="H11" s="6" t="n"/>
    </row>
    <row r="12">
      <c r="A12" s="5" t="n">
        <v>46213</v>
      </c>
      <c r="B12" s="6" t="inlineStr">
        <is>
          <t>Vie</t>
        </is>
      </c>
      <c r="C12" s="6" t="n"/>
      <c r="D12" s="6" t="n"/>
      <c r="E12" s="6" t="n"/>
      <c r="F12" s="6" t="n"/>
      <c r="G12" s="6" t="n"/>
      <c r="H12" s="6" t="n"/>
    </row>
    <row r="13">
      <c r="A13" s="7" t="n">
        <v>46214</v>
      </c>
      <c r="B13" s="8" t="inlineStr">
        <is>
          <t>Sab</t>
        </is>
      </c>
      <c r="C13" s="6" t="n"/>
      <c r="D13" s="6" t="n"/>
      <c r="E13" s="6" t="n"/>
      <c r="F13" s="6" t="n"/>
      <c r="G13" s="6" t="n"/>
      <c r="H13" s="6" t="n"/>
    </row>
    <row r="14">
      <c r="A14" s="7" t="n">
        <v>46215</v>
      </c>
      <c r="B14" s="9" t="inlineStr">
        <is>
          <t>Dom</t>
        </is>
      </c>
      <c r="C14" s="6" t="n"/>
      <c r="D14" s="6" t="n"/>
      <c r="E14" s="6" t="n"/>
      <c r="F14" s="6" t="n"/>
      <c r="G14" s="6" t="n"/>
      <c r="H14" s="6" t="n"/>
    </row>
    <row r="15">
      <c r="A15" s="5" t="n">
        <v>46216</v>
      </c>
      <c r="B15" s="6" t="inlineStr">
        <is>
          <t>Lun</t>
        </is>
      </c>
      <c r="C15" s="6" t="n"/>
      <c r="D15" s="6" t="n"/>
      <c r="E15" s="6" t="n"/>
      <c r="F15" s="6" t="n"/>
      <c r="G15" s="6" t="n"/>
      <c r="H15" s="6" t="n"/>
    </row>
    <row r="16">
      <c r="A16" s="5" t="n">
        <v>46217</v>
      </c>
      <c r="B16" s="6" t="inlineStr">
        <is>
          <t>Mar</t>
        </is>
      </c>
      <c r="C16" s="6" t="n"/>
      <c r="D16" s="6" t="n"/>
      <c r="E16" s="6" t="n"/>
      <c r="F16" s="6" t="n"/>
      <c r="G16" s="6" t="n"/>
      <c r="H16" s="6" t="n"/>
    </row>
    <row r="17">
      <c r="A17" s="5" t="n">
        <v>46218</v>
      </c>
      <c r="B17" s="6" t="inlineStr">
        <is>
          <t>Mie</t>
        </is>
      </c>
      <c r="C17" s="6" t="n"/>
      <c r="D17" s="6" t="n"/>
      <c r="E17" s="6" t="n"/>
      <c r="F17" s="6" t="n"/>
      <c r="G17" s="6" t="n"/>
      <c r="H17" s="6" t="n"/>
    </row>
    <row r="18">
      <c r="A18" s="5" t="n">
        <v>46219</v>
      </c>
      <c r="B18" s="6" t="inlineStr">
        <is>
          <t>Jue</t>
        </is>
      </c>
      <c r="C18" s="6" t="n"/>
      <c r="D18" s="6" t="n"/>
      <c r="E18" s="6" t="n"/>
      <c r="F18" s="6" t="n"/>
      <c r="G18" s="6" t="n"/>
      <c r="H18" s="6" t="n"/>
    </row>
    <row r="19">
      <c r="A19" s="5" t="n">
        <v>46220</v>
      </c>
      <c r="B19" s="6" t="inlineStr">
        <is>
          <t>Vie</t>
        </is>
      </c>
      <c r="C19" s="6" t="n"/>
      <c r="D19" s="6" t="n"/>
      <c r="E19" s="6" t="n"/>
      <c r="F19" s="6" t="n"/>
      <c r="G19" s="6" t="n"/>
      <c r="H19" s="6" t="n"/>
    </row>
    <row r="20">
      <c r="A20" s="7" t="n">
        <v>46221</v>
      </c>
      <c r="B20" s="8" t="inlineStr">
        <is>
          <t>Sab</t>
        </is>
      </c>
      <c r="C20" s="6" t="n"/>
      <c r="D20" s="6" t="n"/>
      <c r="E20" s="6" t="n"/>
      <c r="F20" s="6" t="n"/>
      <c r="G20" s="6" t="n"/>
      <c r="H20" s="6" t="n"/>
    </row>
    <row r="21">
      <c r="A21" s="7" t="n">
        <v>46222</v>
      </c>
      <c r="B21" s="9" t="inlineStr">
        <is>
          <t>Dom</t>
        </is>
      </c>
      <c r="C21" s="6" t="n"/>
      <c r="D21" s="6" t="n"/>
      <c r="E21" s="6" t="n"/>
      <c r="F21" s="6" t="n"/>
      <c r="G21" s="6" t="n"/>
      <c r="H21" s="6" t="n"/>
    </row>
    <row r="22">
      <c r="A22" s="5" t="n">
        <v>46223</v>
      </c>
      <c r="B22" s="6" t="inlineStr">
        <is>
          <t>Lun</t>
        </is>
      </c>
      <c r="C22" s="6" t="n"/>
      <c r="D22" s="6" t="n"/>
      <c r="E22" s="6" t="n"/>
      <c r="F22" s="6" t="n"/>
      <c r="G22" s="6" t="n"/>
      <c r="H22" s="6" t="n"/>
    </row>
    <row r="23">
      <c r="A23" s="5" t="n">
        <v>46224</v>
      </c>
      <c r="B23" s="6" t="inlineStr">
        <is>
          <t>Mar</t>
        </is>
      </c>
      <c r="C23" s="6" t="n"/>
      <c r="D23" s="6" t="n"/>
      <c r="E23" s="6" t="n"/>
      <c r="F23" s="6" t="n"/>
      <c r="G23" s="6" t="n"/>
      <c r="H23" s="6" t="n"/>
    </row>
    <row r="24">
      <c r="A24" s="5" t="n">
        <v>46225</v>
      </c>
      <c r="B24" s="6" t="inlineStr">
        <is>
          <t>Mie</t>
        </is>
      </c>
      <c r="C24" s="6" t="n"/>
      <c r="D24" s="6" t="n"/>
      <c r="E24" s="6" t="n"/>
      <c r="F24" s="6" t="n"/>
      <c r="G24" s="6" t="n"/>
      <c r="H24" s="6" t="n"/>
    </row>
    <row r="25">
      <c r="A25" s="5" t="n">
        <v>46226</v>
      </c>
      <c r="B25" s="6" t="inlineStr">
        <is>
          <t>Jue</t>
        </is>
      </c>
      <c r="C25" s="6" t="n"/>
      <c r="D25" s="6" t="n"/>
      <c r="E25" s="6" t="n"/>
      <c r="F25" s="6" t="n"/>
      <c r="G25" s="6" t="n"/>
      <c r="H25" s="6" t="n"/>
    </row>
    <row r="26">
      <c r="A26" s="5" t="n">
        <v>46227</v>
      </c>
      <c r="B26" s="6" t="inlineStr">
        <is>
          <t>Vie</t>
        </is>
      </c>
      <c r="C26" s="6" t="n"/>
      <c r="D26" s="6" t="n"/>
      <c r="E26" s="6" t="n"/>
      <c r="F26" s="6" t="n"/>
      <c r="G26" s="6" t="n"/>
      <c r="H26" s="6" t="n"/>
    </row>
    <row r="27">
      <c r="A27" s="7" t="n">
        <v>46228</v>
      </c>
      <c r="B27" s="8" t="inlineStr">
        <is>
          <t>Sab</t>
        </is>
      </c>
      <c r="C27" s="6" t="n"/>
      <c r="D27" s="6" t="n"/>
      <c r="E27" s="6" t="n"/>
      <c r="F27" s="6" t="n"/>
      <c r="G27" s="6" t="n"/>
      <c r="H27" s="6" t="n"/>
    </row>
    <row r="28">
      <c r="A28" s="7" t="n">
        <v>46229</v>
      </c>
      <c r="B28" s="9" t="inlineStr">
        <is>
          <t>Dom</t>
        </is>
      </c>
      <c r="C28" s="6" t="n"/>
      <c r="D28" s="6" t="n"/>
      <c r="E28" s="6" t="n"/>
      <c r="F28" s="6" t="n"/>
      <c r="G28" s="6" t="n"/>
      <c r="H28" s="6" t="n"/>
    </row>
    <row r="29">
      <c r="A29" s="5" t="n">
        <v>46230</v>
      </c>
      <c r="B29" s="6" t="inlineStr">
        <is>
          <t>Lun</t>
        </is>
      </c>
      <c r="C29" s="6" t="n"/>
      <c r="D29" s="6" t="n"/>
      <c r="E29" s="6" t="n"/>
      <c r="F29" s="6" t="n"/>
      <c r="G29" s="6" t="n"/>
      <c r="H29" s="6" t="n"/>
    </row>
    <row r="30">
      <c r="A30" s="5" t="n">
        <v>46231</v>
      </c>
      <c r="B30" s="6" t="inlineStr">
        <is>
          <t>Mar</t>
        </is>
      </c>
      <c r="C30" s="6" t="n"/>
      <c r="D30" s="6" t="n"/>
      <c r="E30" s="6" t="n"/>
      <c r="F30" s="6" t="n"/>
      <c r="G30" s="6" t="n"/>
      <c r="H30" s="6" t="n"/>
    </row>
    <row r="31">
      <c r="A31" s="5" t="n">
        <v>46232</v>
      </c>
      <c r="B31" s="6" t="inlineStr">
        <is>
          <t>Mie</t>
        </is>
      </c>
      <c r="C31" s="6" t="n"/>
      <c r="D31" s="6" t="n"/>
      <c r="E31" s="6" t="n"/>
      <c r="F31" s="6" t="n"/>
      <c r="G31" s="6" t="n"/>
      <c r="H31" s="6" t="n"/>
    </row>
    <row r="32">
      <c r="A32" s="5" t="n">
        <v>46233</v>
      </c>
      <c r="B32" s="6" t="inlineStr">
        <is>
          <t>Jue</t>
        </is>
      </c>
      <c r="C32" s="6" t="n"/>
      <c r="D32" s="6" t="n"/>
      <c r="E32" s="6" t="n"/>
      <c r="F32" s="6" t="n"/>
      <c r="G32" s="6" t="n"/>
      <c r="H32" s="6" t="n"/>
    </row>
    <row r="33">
      <c r="A33" s="5" t="n">
        <v>46234</v>
      </c>
      <c r="B33" s="6" t="inlineStr">
        <is>
          <t>Vie</t>
        </is>
      </c>
      <c r="C33" s="6" t="n"/>
      <c r="D33" s="6" t="n"/>
      <c r="E33" s="6" t="n"/>
      <c r="F33" s="6" t="n"/>
      <c r="G33" s="6" t="n"/>
      <c r="H33" s="6" t="n"/>
    </row>
    <row r="34" ht="28" customHeight="1">
      <c r="A34" s="10" t="inlineStr">
        <is>
          <t xml:space="preserve">  AGOSTO 2026</t>
        </is>
      </c>
      <c r="B34" s="3" t="n"/>
      <c r="C34" s="11" t="n"/>
      <c r="D34" s="11" t="n"/>
      <c r="E34" s="11" t="n"/>
      <c r="F34" s="11" t="n"/>
      <c r="G34" s="11" t="n"/>
      <c r="H34" s="11" t="n"/>
    </row>
    <row r="35">
      <c r="A35" s="7" t="n">
        <v>46235</v>
      </c>
      <c r="B35" s="8" t="inlineStr">
        <is>
          <t>Sab</t>
        </is>
      </c>
      <c r="C35" s="6" t="n"/>
      <c r="D35" s="6" t="n"/>
      <c r="E35" s="6" t="n"/>
      <c r="F35" s="6" t="n"/>
      <c r="G35" s="6" t="n"/>
      <c r="H35" s="6" t="n"/>
    </row>
    <row r="36">
      <c r="A36" s="7" t="n">
        <v>46236</v>
      </c>
      <c r="B36" s="9" t="inlineStr">
        <is>
          <t>Dom</t>
        </is>
      </c>
      <c r="C36" s="6" t="n"/>
      <c r="D36" s="6" t="n"/>
      <c r="E36" s="6" t="n"/>
      <c r="F36" s="6" t="n"/>
      <c r="G36" s="6" t="n"/>
      <c r="H36" s="6" t="n"/>
    </row>
    <row r="37">
      <c r="A37" s="12" t="n">
        <v>46237</v>
      </c>
      <c r="B37" s="6" t="inlineStr">
        <is>
          <t>Lun</t>
        </is>
      </c>
      <c r="C37" s="6" t="n"/>
      <c r="D37" s="6" t="n"/>
      <c r="E37" s="6" t="n"/>
      <c r="F37" s="6" t="n"/>
      <c r="G37" s="6" t="n"/>
      <c r="H37" s="6" t="n"/>
    </row>
    <row r="38">
      <c r="A38" s="12" t="n">
        <v>46238</v>
      </c>
      <c r="B38" s="6" t="inlineStr">
        <is>
          <t>Mar</t>
        </is>
      </c>
      <c r="C38" s="6" t="n"/>
      <c r="D38" s="6" t="n"/>
      <c r="E38" s="6" t="n"/>
      <c r="F38" s="6" t="n"/>
      <c r="G38" s="6" t="n"/>
      <c r="H38" s="6" t="n"/>
    </row>
    <row r="39">
      <c r="A39" s="12" t="n">
        <v>46239</v>
      </c>
      <c r="B39" s="6" t="inlineStr">
        <is>
          <t>Mie</t>
        </is>
      </c>
      <c r="C39" s="6" t="n"/>
      <c r="D39" s="6" t="n"/>
      <c r="E39" s="6" t="n"/>
      <c r="F39" s="6" t="n"/>
      <c r="G39" s="6" t="n"/>
      <c r="H39" s="6" t="n"/>
    </row>
    <row r="40">
      <c r="A40" s="12" t="n">
        <v>46240</v>
      </c>
      <c r="B40" s="6" t="inlineStr">
        <is>
          <t>Jue</t>
        </is>
      </c>
      <c r="C40" s="6" t="n"/>
      <c r="D40" s="6" t="n"/>
      <c r="E40" s="6" t="n"/>
      <c r="F40" s="6" t="n"/>
      <c r="G40" s="6" t="n"/>
      <c r="H40" s="6" t="n"/>
    </row>
    <row r="41">
      <c r="A41" s="12" t="n">
        <v>46241</v>
      </c>
      <c r="B41" s="6" t="inlineStr">
        <is>
          <t>Vie</t>
        </is>
      </c>
      <c r="C41" s="6" t="n"/>
      <c r="D41" s="6" t="n"/>
      <c r="E41" s="6" t="n"/>
      <c r="F41" s="6" t="n"/>
      <c r="G41" s="6" t="n"/>
      <c r="H41" s="6" t="n"/>
    </row>
    <row r="42">
      <c r="A42" s="7" t="n">
        <v>46242</v>
      </c>
      <c r="B42" s="8" t="inlineStr">
        <is>
          <t>Sab</t>
        </is>
      </c>
      <c r="C42" s="6" t="n"/>
      <c r="D42" s="6" t="n"/>
      <c r="E42" s="6" t="n"/>
      <c r="F42" s="6" t="n"/>
      <c r="G42" s="6" t="n"/>
      <c r="H42" s="6" t="n"/>
    </row>
    <row r="43">
      <c r="A43" s="7" t="n">
        <v>46243</v>
      </c>
      <c r="B43" s="9" t="inlineStr">
        <is>
          <t>Dom</t>
        </is>
      </c>
      <c r="C43" s="6" t="n"/>
      <c r="D43" s="6" t="n"/>
      <c r="E43" s="6" t="n"/>
      <c r="F43" s="6" t="n"/>
      <c r="G43" s="6" t="n"/>
      <c r="H43" s="6" t="n"/>
    </row>
    <row r="44">
      <c r="A44" s="12" t="n">
        <v>46244</v>
      </c>
      <c r="B44" s="6" t="inlineStr">
        <is>
          <t>Lun</t>
        </is>
      </c>
      <c r="C44" s="6" t="n"/>
      <c r="D44" s="6" t="n"/>
      <c r="E44" s="6" t="n"/>
      <c r="F44" s="6" t="n"/>
      <c r="G44" s="6" t="n"/>
      <c r="H44" s="6" t="n"/>
    </row>
    <row r="45">
      <c r="A45" s="12" t="n">
        <v>46245</v>
      </c>
      <c r="B45" s="6" t="inlineStr">
        <is>
          <t>Mar</t>
        </is>
      </c>
      <c r="C45" s="6" t="n"/>
      <c r="D45" s="6" t="n"/>
      <c r="E45" s="6" t="n"/>
      <c r="F45" s="6" t="n"/>
      <c r="G45" s="6" t="n"/>
      <c r="H45" s="6" t="n"/>
    </row>
    <row r="46">
      <c r="A46" s="12" t="n">
        <v>46246</v>
      </c>
      <c r="B46" s="6" t="inlineStr">
        <is>
          <t>Mie</t>
        </is>
      </c>
      <c r="C46" s="6" t="n"/>
      <c r="D46" s="6" t="n"/>
      <c r="E46" s="6" t="n"/>
      <c r="F46" s="6" t="n"/>
      <c r="G46" s="6" t="n"/>
      <c r="H46" s="6" t="n"/>
    </row>
    <row r="47">
      <c r="A47" s="12" t="n">
        <v>46247</v>
      </c>
      <c r="B47" s="6" t="inlineStr">
        <is>
          <t>Jue</t>
        </is>
      </c>
      <c r="C47" s="6" t="n"/>
      <c r="D47" s="6" t="n"/>
      <c r="E47" s="6" t="n"/>
      <c r="F47" s="6" t="n"/>
      <c r="G47" s="6" t="n"/>
      <c r="H47" s="6" t="n"/>
    </row>
    <row r="48">
      <c r="A48" s="12" t="n">
        <v>46248</v>
      </c>
      <c r="B48" s="6" t="inlineStr">
        <is>
          <t>Vie</t>
        </is>
      </c>
      <c r="C48" s="6" t="n"/>
      <c r="D48" s="6" t="n"/>
      <c r="E48" s="6" t="n"/>
      <c r="F48" s="6" t="n"/>
      <c r="G48" s="6" t="n"/>
      <c r="H48" s="6" t="n"/>
    </row>
    <row r="49">
      <c r="A49" s="7" t="n">
        <v>46249</v>
      </c>
      <c r="B49" s="8" t="inlineStr">
        <is>
          <t>Sab</t>
        </is>
      </c>
      <c r="C49" s="6" t="n"/>
      <c r="D49" s="6" t="n"/>
      <c r="E49" s="6" t="n"/>
      <c r="F49" s="6" t="n"/>
      <c r="G49" s="6" t="n"/>
      <c r="H49" s="6" t="n"/>
    </row>
    <row r="50">
      <c r="A50" s="7" t="n">
        <v>46250</v>
      </c>
      <c r="B50" s="9" t="inlineStr">
        <is>
          <t>Dom</t>
        </is>
      </c>
      <c r="C50" s="6" t="n"/>
      <c r="D50" s="6" t="n"/>
      <c r="E50" s="6" t="n"/>
      <c r="F50" s="6" t="n"/>
      <c r="G50" s="6" t="n"/>
      <c r="H50" s="6" t="n"/>
    </row>
    <row r="51">
      <c r="A51" s="12" t="n">
        <v>46251</v>
      </c>
      <c r="B51" s="6" t="inlineStr">
        <is>
          <t>Lun</t>
        </is>
      </c>
      <c r="C51" s="6" t="n"/>
      <c r="D51" s="6" t="n"/>
      <c r="E51" s="6" t="n"/>
      <c r="F51" s="6" t="n"/>
      <c r="G51" s="6" t="n"/>
      <c r="H51" s="6" t="n"/>
    </row>
    <row r="52">
      <c r="A52" s="12" t="n">
        <v>46252</v>
      </c>
      <c r="B52" s="6" t="inlineStr">
        <is>
          <t>Mar</t>
        </is>
      </c>
      <c r="C52" s="6" t="n"/>
      <c r="D52" s="6" t="n"/>
      <c r="E52" s="6" t="n"/>
      <c r="F52" s="6" t="n"/>
      <c r="G52" s="6" t="n"/>
      <c r="H52" s="6" t="n"/>
    </row>
    <row r="53">
      <c r="A53" s="12" t="n">
        <v>46253</v>
      </c>
      <c r="B53" s="6" t="inlineStr">
        <is>
          <t>Mie</t>
        </is>
      </c>
      <c r="C53" s="6" t="n"/>
      <c r="D53" s="6" t="n"/>
      <c r="E53" s="6" t="n"/>
      <c r="F53" s="6" t="n"/>
      <c r="G53" s="6" t="n"/>
      <c r="H53" s="6" t="n"/>
    </row>
    <row r="54">
      <c r="A54" s="12" t="n">
        <v>46254</v>
      </c>
      <c r="B54" s="6" t="inlineStr">
        <is>
          <t>Jue</t>
        </is>
      </c>
      <c r="C54" s="6" t="n"/>
      <c r="D54" s="6" t="n"/>
      <c r="E54" s="6" t="n"/>
      <c r="F54" s="6" t="n"/>
      <c r="G54" s="6" t="n"/>
      <c r="H54" s="6" t="n"/>
    </row>
    <row r="55">
      <c r="A55" s="12" t="n">
        <v>46255</v>
      </c>
      <c r="B55" s="6" t="inlineStr">
        <is>
          <t>Vie</t>
        </is>
      </c>
      <c r="C55" s="6" t="n"/>
      <c r="D55" s="6" t="n"/>
      <c r="E55" s="6" t="n"/>
      <c r="F55" s="6" t="n"/>
      <c r="G55" s="6" t="n"/>
      <c r="H55" s="6" t="n"/>
    </row>
    <row r="56">
      <c r="A56" s="7" t="n">
        <v>46256</v>
      </c>
      <c r="B56" s="8" t="inlineStr">
        <is>
          <t>Sab</t>
        </is>
      </c>
      <c r="C56" s="6" t="n"/>
      <c r="D56" s="6" t="n"/>
      <c r="E56" s="6" t="n"/>
      <c r="F56" s="6" t="n"/>
      <c r="G56" s="6" t="n"/>
      <c r="H56" s="6" t="n"/>
    </row>
    <row r="57">
      <c r="A57" s="7" t="n">
        <v>46257</v>
      </c>
      <c r="B57" s="9" t="inlineStr">
        <is>
          <t>Dom</t>
        </is>
      </c>
      <c r="C57" s="6" t="n"/>
      <c r="D57" s="6" t="n"/>
      <c r="E57" s="6" t="n"/>
      <c r="F57" s="6" t="n"/>
      <c r="G57" s="6" t="n"/>
      <c r="H57" s="6" t="n"/>
    </row>
    <row r="58">
      <c r="A58" s="12" t="n">
        <v>46258</v>
      </c>
      <c r="B58" s="6" t="inlineStr">
        <is>
          <t>Lun</t>
        </is>
      </c>
      <c r="C58" s="6" t="n"/>
      <c r="D58" s="6" t="n"/>
      <c r="E58" s="6" t="n"/>
      <c r="F58" s="6" t="n"/>
      <c r="G58" s="6" t="n"/>
      <c r="H58" s="6" t="n"/>
    </row>
    <row r="59">
      <c r="A59" s="12" t="n">
        <v>46259</v>
      </c>
      <c r="B59" s="6" t="inlineStr">
        <is>
          <t>Mar</t>
        </is>
      </c>
      <c r="C59" s="6" t="n"/>
      <c r="D59" s="6" t="n"/>
      <c r="E59" s="6" t="n"/>
      <c r="F59" s="6" t="n"/>
      <c r="G59" s="6" t="n"/>
      <c r="H59" s="6" t="n"/>
    </row>
    <row r="60">
      <c r="A60" s="12" t="n">
        <v>46260</v>
      </c>
      <c r="B60" s="6" t="inlineStr">
        <is>
          <t>Mie</t>
        </is>
      </c>
      <c r="C60" s="6" t="n"/>
      <c r="D60" s="6" t="n"/>
      <c r="E60" s="6" t="n"/>
      <c r="F60" s="6" t="n"/>
      <c r="G60" s="6" t="n"/>
      <c r="H60" s="6" t="n"/>
    </row>
    <row r="61">
      <c r="A61" s="12" t="n">
        <v>46261</v>
      </c>
      <c r="B61" s="6" t="inlineStr">
        <is>
          <t>Jue</t>
        </is>
      </c>
      <c r="C61" s="6" t="n"/>
      <c r="D61" s="6" t="n"/>
      <c r="E61" s="6" t="n"/>
      <c r="F61" s="6" t="n"/>
      <c r="G61" s="6" t="n"/>
      <c r="H61" s="6" t="n"/>
    </row>
    <row r="62">
      <c r="A62" s="12" t="n">
        <v>46262</v>
      </c>
      <c r="B62" s="6" t="inlineStr">
        <is>
          <t>Vie</t>
        </is>
      </c>
      <c r="C62" s="6" t="n"/>
      <c r="D62" s="6" t="n"/>
      <c r="E62" s="6" t="n"/>
      <c r="F62" s="6" t="n"/>
      <c r="G62" s="6" t="n"/>
      <c r="H62" s="6" t="n"/>
    </row>
    <row r="63">
      <c r="A63" s="7" t="n">
        <v>46263</v>
      </c>
      <c r="B63" s="8" t="inlineStr">
        <is>
          <t>Sab</t>
        </is>
      </c>
      <c r="C63" s="6" t="n"/>
      <c r="D63" s="6" t="n"/>
      <c r="E63" s="6" t="n"/>
      <c r="F63" s="6" t="n"/>
      <c r="G63" s="6" t="n"/>
      <c r="H63" s="6" t="n"/>
    </row>
    <row r="64">
      <c r="A64" s="7" t="n">
        <v>46264</v>
      </c>
      <c r="B64" s="9" t="inlineStr">
        <is>
          <t>Dom</t>
        </is>
      </c>
      <c r="C64" s="6" t="n"/>
      <c r="D64" s="6" t="n"/>
      <c r="E64" s="6" t="n"/>
      <c r="F64" s="6" t="n"/>
      <c r="G64" s="6" t="n"/>
      <c r="H64" s="6" t="n"/>
    </row>
    <row r="65">
      <c r="A65" s="12" t="n">
        <v>46265</v>
      </c>
      <c r="B65" s="6" t="inlineStr">
        <is>
          <t>Lun</t>
        </is>
      </c>
      <c r="C65" s="6" t="n"/>
      <c r="D65" s="6" t="n"/>
      <c r="E65" s="6" t="n"/>
      <c r="F65" s="6" t="n"/>
      <c r="G65" s="6" t="n"/>
      <c r="H65" s="6" t="n"/>
    </row>
    <row r="68">
      <c r="A68" s="13" t="inlineStr">
        <is>
          <t>LEYENDA</t>
        </is>
      </c>
    </row>
    <row r="69">
      <c r="B69" s="14" t="inlineStr">
        <is>
          <t>TM -&gt; Trabajar manana (~08-15)</t>
        </is>
      </c>
      <c r="C69" s="15" t="n"/>
      <c r="D69" s="15" t="n"/>
      <c r="E69" s="16" t="n"/>
    </row>
    <row r="70">
      <c r="B70" s="17" t="inlineStr">
        <is>
          <t>TT -&gt; Trabajar tarde (~15-21)</t>
        </is>
      </c>
      <c r="C70" s="15" t="n"/>
      <c r="D70" s="15" t="n"/>
      <c r="E70" s="16" t="n"/>
    </row>
    <row r="71">
      <c r="B71" s="18" t="inlineStr">
        <is>
          <t>TN -&gt; Trabajar noche (~21-08)</t>
        </is>
      </c>
      <c r="C71" s="15" t="n"/>
      <c r="D71" s="15" t="n"/>
      <c r="E71" s="16" t="n"/>
    </row>
    <row r="72">
      <c r="B72" s="19" t="inlineStr">
        <is>
          <t>FV -&gt; Fuera (puedo volver)</t>
        </is>
      </c>
      <c r="C72" s="15" t="n"/>
      <c r="D72" s="15" t="n"/>
      <c r="E72" s="16" t="n"/>
    </row>
    <row r="73">
      <c r="B73" s="20" t="inlineStr">
        <is>
          <t>FN -&gt; Fuera (NO volver)</t>
        </is>
      </c>
      <c r="C73" s="15" t="n"/>
      <c r="D73" s="15" t="n"/>
      <c r="E73" s="16" t="n"/>
    </row>
    <row r="74">
      <c r="B74" s="21" t="inlineStr">
        <is>
          <t>OC -&gt; Ocupado</t>
        </is>
      </c>
      <c r="C74" s="15" t="n"/>
      <c r="D74" s="15" t="n"/>
      <c r="E74" s="16" t="n"/>
    </row>
    <row r="75">
      <c r="B75" s="22" t="inlineStr">
        <is>
          <t>RE -&gt; Recuperaciones</t>
        </is>
      </c>
      <c r="C75" s="15" t="n"/>
      <c r="D75" s="15" t="n"/>
      <c r="E75" s="16" t="n"/>
    </row>
    <row r="76">
      <c r="B76" s="23" t="inlineStr">
        <is>
          <t>OT -&gt; Otros</t>
        </is>
      </c>
      <c r="C76" s="15" t="n"/>
      <c r="D76" s="15" t="n"/>
      <c r="E76" s="16" t="n"/>
    </row>
    <row r="77">
      <c r="B77" s="24" t="inlineStr">
        <is>
          <t>CL -&gt; Clases</t>
        </is>
      </c>
      <c r="C77" s="15" t="n"/>
      <c r="D77" s="15" t="n"/>
      <c r="E77" s="16" t="n"/>
    </row>
    <row r="78">
      <c r="B78" s="25" t="inlineStr">
        <is>
          <t>(vacio = disponible)</t>
        </is>
      </c>
    </row>
  </sheetData>
  <mergeCells count="11">
    <mergeCell ref="A2:B2"/>
    <mergeCell ref="B71:E71"/>
    <mergeCell ref="B75:E75"/>
    <mergeCell ref="B73:E73"/>
    <mergeCell ref="B74:E74"/>
    <mergeCell ref="B69:E69"/>
    <mergeCell ref="B70:E70"/>
    <mergeCell ref="B77:E77"/>
    <mergeCell ref="B72:E72"/>
    <mergeCell ref="A34:B34"/>
    <mergeCell ref="B76:E76"/>
  </mergeCells>
  <conditionalFormatting sqref="C2:H65">
    <cfRule type="cellIs" priority="1" operator="equal" dxfId="0">
      <formula>"TM"</formula>
    </cfRule>
    <cfRule type="cellIs" priority="2" operator="equal" dxfId="1">
      <formula>"TT"</formula>
    </cfRule>
    <cfRule type="expression" priority="3" dxfId="2">
      <formula>C2="TN"</formula>
    </cfRule>
    <cfRule type="cellIs" priority="4" operator="equal" dxfId="3">
      <formula>"FV"</formula>
    </cfRule>
    <cfRule type="expression" priority="5" dxfId="4">
      <formula>C2="FN"</formula>
    </cfRule>
    <cfRule type="expression" priority="6" dxfId="5">
      <formula>C2="OC"</formula>
    </cfRule>
    <cfRule type="expression" priority="7" dxfId="6">
      <formula>C2="RE"</formula>
    </cfRule>
    <cfRule type="expression" priority="8" dxfId="7">
      <formula>C2="OT"</formula>
    </cfRule>
    <cfRule type="expression" priority="9" dxfId="8">
      <formula>C2="CL"</formula>
    </cfRule>
  </conditionalFormatting>
  <dataValidations count="1">
    <dataValidation sqref="C2:H65" showDropDown="0" showInputMessage="0" showErrorMessage="1" allowBlank="1" errorTitle="Valor no valido" error="Usa: TM, TT, TN, FV, FN, OC, RE, OT, CL" promptTitle="Disponibilidad" prompt="Selecciona: TM / TT / TN / FV / FN / OC / RE / OT / CL" type="list">
      <formula1>"TM,TT,TN,FV,FN,OC,RE,OT,CL"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O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4" customWidth="1" min="14" max="14"/>
  </cols>
  <sheetData>
    <row r="1" ht="46" customHeight="1">
      <c r="A1" s="26" t="inlineStr">
        <is>
          <t xml:space="preserve">  PANEL DE DISPONIBILIDAD  —  JULIO &amp; AGOSTO 2026</t>
        </is>
      </c>
    </row>
    <row r="2" ht="48" customHeight="1">
      <c r="B2" s="27" t="inlineStr">
        <is>
          <t>TOTAL DIAS</t>
        </is>
      </c>
      <c r="C2" s="28" t="inlineStr">
        <is>
          <t>62</t>
        </is>
      </c>
      <c r="E2" s="29" t="inlineStr">
        <is>
          <t>TODOS LIBRES</t>
        </is>
      </c>
      <c r="F2" s="30">
        <f>COUNTIF(J6:J67,"SI")</f>
        <v/>
      </c>
      <c r="H2" s="29" t="inlineStr">
        <is>
          <t>MAX 1 OCUPADO</t>
        </is>
      </c>
      <c r="I2" s="30">
        <f>COUNTIF(K6:K67,"SI")</f>
        <v/>
      </c>
      <c r="K2" s="29" t="inlineStr">
        <is>
          <t>MAX 2 OCUPADOS</t>
        </is>
      </c>
      <c r="L2" s="30">
        <f>COUNTIF(L6:L67,"SI")</f>
        <v/>
      </c>
      <c r="N2" s="29" t="inlineStr">
        <is>
          <t>MAX 3 OCUPADOS</t>
        </is>
      </c>
      <c r="O2" s="30">
        <f>COUNTIF(M6:M67,"SI")</f>
        <v/>
      </c>
    </row>
    <row r="3" ht="4" customHeight="1"/>
    <row r="4" ht="38" customHeight="1">
      <c r="A4" s="31" t="inlineStr">
        <is>
          <t>Fecha</t>
        </is>
      </c>
      <c r="B4" s="31" t="inlineStr">
        <is>
          <t>Dia</t>
        </is>
      </c>
      <c r="C4" s="31" t="inlineStr">
        <is>
          <t>Libres</t>
        </is>
      </c>
      <c r="D4" s="31" t="inlineStr">
        <is>
          <t>TM</t>
        </is>
      </c>
      <c r="E4" s="31" t="inlineStr">
        <is>
          <t>TT</t>
        </is>
      </c>
      <c r="F4" s="31" t="inlineStr">
        <is>
          <t>TN</t>
        </is>
      </c>
      <c r="G4" s="31" t="inlineStr">
        <is>
          <t>FV</t>
        </is>
      </c>
      <c r="H4" s="31" t="inlineStr">
        <is>
          <t>FN</t>
        </is>
      </c>
      <c r="I4" s="31" t="inlineStr">
        <is>
          <t>Ocupados
(TM+TT+TN)</t>
        </is>
      </c>
      <c r="J4" s="31" t="inlineStr">
        <is>
          <t>Todos
libres</t>
        </is>
      </c>
      <c r="K4" s="31" t="inlineStr">
        <is>
          <t>Todos -1</t>
        </is>
      </c>
      <c r="L4" s="31" t="inlineStr">
        <is>
          <t>Todos -2</t>
        </is>
      </c>
      <c r="M4" s="31" t="inlineStr">
        <is>
          <t>Todos -3</t>
        </is>
      </c>
      <c r="N4" s="31" t="inlineStr">
        <is>
          <t>Todos
FN</t>
        </is>
      </c>
      <c r="O4" s="31" t="inlineStr">
        <is>
          <t>% Disponible</t>
        </is>
      </c>
    </row>
    <row r="5">
      <c r="J5" s="32" t="inlineStr">
        <is>
          <t>Umbrales: minimo de personas libres</t>
        </is>
      </c>
    </row>
    <row r="6">
      <c r="A6" s="33" t="n">
        <v>46204</v>
      </c>
      <c r="B6" s="6" t="inlineStr">
        <is>
          <t>Mie</t>
        </is>
      </c>
      <c r="C6" s="6">
        <f>COUNTIF(Calendario!C3:H3,"")</f>
        <v/>
      </c>
      <c r="D6" s="6">
        <f>COUNTIF(Calendario!C3:H3,"TM")</f>
        <v/>
      </c>
      <c r="E6" s="6">
        <f>COUNTIF(Calendario!C3:H3,"TT")</f>
        <v/>
      </c>
      <c r="F6" s="6">
        <f>COUNTIF(Calendario!C3:H3,"TN")</f>
        <v/>
      </c>
      <c r="G6" s="6">
        <f>COUNTIF(Calendario!C3:H3,"FV")</f>
        <v/>
      </c>
      <c r="H6" s="6">
        <f>COUNTIF(Calendario!C3:H3,"FN")</f>
        <v/>
      </c>
      <c r="I6" s="6">
        <f>D6+E6+F6</f>
        <v/>
      </c>
      <c r="J6" s="6">
        <f>IF(C6&gt;=6,"SI","")</f>
        <v/>
      </c>
      <c r="K6" s="6">
        <f>IF(C6&gt;=5,"SI","")</f>
        <v/>
      </c>
      <c r="L6" s="6">
        <f>IF(C6&gt;=4,"SI","")</f>
        <v/>
      </c>
      <c r="M6" s="6">
        <f>IF(C6&gt;=3,"SI","")</f>
        <v/>
      </c>
      <c r="N6" s="6">
        <f>IF(H6=6,"SI","")</f>
        <v/>
      </c>
      <c r="O6" s="34">
        <f>C6/6</f>
        <v/>
      </c>
    </row>
    <row r="7">
      <c r="A7" s="35" t="n">
        <v>46205</v>
      </c>
      <c r="B7" s="36" t="inlineStr">
        <is>
          <t>Jue</t>
        </is>
      </c>
      <c r="C7" s="6">
        <f>COUNTIF(Calendario!C4:H4,"")</f>
        <v/>
      </c>
      <c r="D7" s="6">
        <f>COUNTIF(Calendario!C4:H4,"TM")</f>
        <v/>
      </c>
      <c r="E7" s="6">
        <f>COUNTIF(Calendario!C4:H4,"TT")</f>
        <v/>
      </c>
      <c r="F7" s="6">
        <f>COUNTIF(Calendario!C4:H4,"TN")</f>
        <v/>
      </c>
      <c r="G7" s="6">
        <f>COUNTIF(Calendario!C4:H4,"FV")</f>
        <v/>
      </c>
      <c r="H7" s="6">
        <f>COUNTIF(Calendario!C4:H4,"FN")</f>
        <v/>
      </c>
      <c r="I7" s="6">
        <f>D7+E7+F7</f>
        <v/>
      </c>
      <c r="J7" s="6">
        <f>IF(C7&gt;=6,"SI","")</f>
        <v/>
      </c>
      <c r="K7" s="6">
        <f>IF(C7&gt;=5,"SI","")</f>
        <v/>
      </c>
      <c r="L7" s="6">
        <f>IF(C7&gt;=4,"SI","")</f>
        <v/>
      </c>
      <c r="M7" s="6">
        <f>IF(C7&gt;=3,"SI","")</f>
        <v/>
      </c>
      <c r="N7" s="6">
        <f>IF(H7=6,"SI","")</f>
        <v/>
      </c>
      <c r="O7" s="34">
        <f>C7/6</f>
        <v/>
      </c>
    </row>
    <row r="8">
      <c r="A8" s="33" t="n">
        <v>46206</v>
      </c>
      <c r="B8" s="6" t="inlineStr">
        <is>
          <t>Vie</t>
        </is>
      </c>
      <c r="C8" s="6">
        <f>COUNTIF(Calendario!C5:H5,"")</f>
        <v/>
      </c>
      <c r="D8" s="6">
        <f>COUNTIF(Calendario!C5:H5,"TM")</f>
        <v/>
      </c>
      <c r="E8" s="6">
        <f>COUNTIF(Calendario!C5:H5,"TT")</f>
        <v/>
      </c>
      <c r="F8" s="6">
        <f>COUNTIF(Calendario!C5:H5,"TN")</f>
        <v/>
      </c>
      <c r="G8" s="6">
        <f>COUNTIF(Calendario!C5:H5,"FV")</f>
        <v/>
      </c>
      <c r="H8" s="6">
        <f>COUNTIF(Calendario!C5:H5,"FN")</f>
        <v/>
      </c>
      <c r="I8" s="6">
        <f>D8+E8+F8</f>
        <v/>
      </c>
      <c r="J8" s="6">
        <f>IF(C8&gt;=6,"SI","")</f>
        <v/>
      </c>
      <c r="K8" s="6">
        <f>IF(C8&gt;=5,"SI","")</f>
        <v/>
      </c>
      <c r="L8" s="6">
        <f>IF(C8&gt;=4,"SI","")</f>
        <v/>
      </c>
      <c r="M8" s="6">
        <f>IF(C8&gt;=3,"SI","")</f>
        <v/>
      </c>
      <c r="N8" s="6">
        <f>IF(H8=6,"SI","")</f>
        <v/>
      </c>
      <c r="O8" s="34">
        <f>C8/6</f>
        <v/>
      </c>
    </row>
    <row r="9">
      <c r="A9" s="7" t="n">
        <v>46207</v>
      </c>
      <c r="B9" s="8" t="inlineStr">
        <is>
          <t>Sab</t>
        </is>
      </c>
      <c r="C9" s="6">
        <f>COUNTIF(Calendario!C6:H6,"")</f>
        <v/>
      </c>
      <c r="D9" s="6">
        <f>COUNTIF(Calendario!C6:H6,"TM")</f>
        <v/>
      </c>
      <c r="E9" s="6">
        <f>COUNTIF(Calendario!C6:H6,"TT")</f>
        <v/>
      </c>
      <c r="F9" s="6">
        <f>COUNTIF(Calendario!C6:H6,"TN")</f>
        <v/>
      </c>
      <c r="G9" s="6">
        <f>COUNTIF(Calendario!C6:H6,"FV")</f>
        <v/>
      </c>
      <c r="H9" s="6">
        <f>COUNTIF(Calendario!C6:H6,"FN")</f>
        <v/>
      </c>
      <c r="I9" s="6">
        <f>D9+E9+F9</f>
        <v/>
      </c>
      <c r="J9" s="6">
        <f>IF(C9&gt;=6,"SI","")</f>
        <v/>
      </c>
      <c r="K9" s="6">
        <f>IF(C9&gt;=5,"SI","")</f>
        <v/>
      </c>
      <c r="L9" s="6">
        <f>IF(C9&gt;=4,"SI","")</f>
        <v/>
      </c>
      <c r="M9" s="6">
        <f>IF(C9&gt;=3,"SI","")</f>
        <v/>
      </c>
      <c r="N9" s="6">
        <f>IF(H9=6,"SI","")</f>
        <v/>
      </c>
      <c r="O9" s="34">
        <f>C9/6</f>
        <v/>
      </c>
    </row>
    <row r="10">
      <c r="A10" s="7" t="n">
        <v>46208</v>
      </c>
      <c r="B10" s="8" t="inlineStr">
        <is>
          <t>Dom</t>
        </is>
      </c>
      <c r="C10" s="6">
        <f>COUNTIF(Calendario!C7:H7,"")</f>
        <v/>
      </c>
      <c r="D10" s="6">
        <f>COUNTIF(Calendario!C7:H7,"TM")</f>
        <v/>
      </c>
      <c r="E10" s="6">
        <f>COUNTIF(Calendario!C7:H7,"TT")</f>
        <v/>
      </c>
      <c r="F10" s="6">
        <f>COUNTIF(Calendario!C7:H7,"TN")</f>
        <v/>
      </c>
      <c r="G10" s="6">
        <f>COUNTIF(Calendario!C7:H7,"FV")</f>
        <v/>
      </c>
      <c r="H10" s="6">
        <f>COUNTIF(Calendario!C7:H7,"FN")</f>
        <v/>
      </c>
      <c r="I10" s="6">
        <f>D10+E10+F10</f>
        <v/>
      </c>
      <c r="J10" s="6">
        <f>IF(C10&gt;=6,"SI","")</f>
        <v/>
      </c>
      <c r="K10" s="6">
        <f>IF(C10&gt;=5,"SI","")</f>
        <v/>
      </c>
      <c r="L10" s="6">
        <f>IF(C10&gt;=4,"SI","")</f>
        <v/>
      </c>
      <c r="M10" s="6">
        <f>IF(C10&gt;=3,"SI","")</f>
        <v/>
      </c>
      <c r="N10" s="6">
        <f>IF(H10=6,"SI","")</f>
        <v/>
      </c>
      <c r="O10" s="34">
        <f>C10/6</f>
        <v/>
      </c>
    </row>
    <row r="11">
      <c r="A11" s="35" t="n">
        <v>46209</v>
      </c>
      <c r="B11" s="36" t="inlineStr">
        <is>
          <t>Lun</t>
        </is>
      </c>
      <c r="C11" s="6">
        <f>COUNTIF(Calendario!C8:H8,"")</f>
        <v/>
      </c>
      <c r="D11" s="6">
        <f>COUNTIF(Calendario!C8:H8,"TM")</f>
        <v/>
      </c>
      <c r="E11" s="6">
        <f>COUNTIF(Calendario!C8:H8,"TT")</f>
        <v/>
      </c>
      <c r="F11" s="6">
        <f>COUNTIF(Calendario!C8:H8,"TN")</f>
        <v/>
      </c>
      <c r="G11" s="6">
        <f>COUNTIF(Calendario!C8:H8,"FV")</f>
        <v/>
      </c>
      <c r="H11" s="6">
        <f>COUNTIF(Calendario!C8:H8,"FN")</f>
        <v/>
      </c>
      <c r="I11" s="6">
        <f>D11+E11+F11</f>
        <v/>
      </c>
      <c r="J11" s="6">
        <f>IF(C11&gt;=6,"SI","")</f>
        <v/>
      </c>
      <c r="K11" s="6">
        <f>IF(C11&gt;=5,"SI","")</f>
        <v/>
      </c>
      <c r="L11" s="6">
        <f>IF(C11&gt;=4,"SI","")</f>
        <v/>
      </c>
      <c r="M11" s="6">
        <f>IF(C11&gt;=3,"SI","")</f>
        <v/>
      </c>
      <c r="N11" s="6">
        <f>IF(H11=6,"SI","")</f>
        <v/>
      </c>
      <c r="O11" s="34">
        <f>C11/6</f>
        <v/>
      </c>
    </row>
    <row r="12">
      <c r="A12" s="33" t="n">
        <v>46210</v>
      </c>
      <c r="B12" s="6" t="inlineStr">
        <is>
          <t>Mar</t>
        </is>
      </c>
      <c r="C12" s="6">
        <f>COUNTIF(Calendario!C9:H9,"")</f>
        <v/>
      </c>
      <c r="D12" s="6">
        <f>COUNTIF(Calendario!C9:H9,"TM")</f>
        <v/>
      </c>
      <c r="E12" s="6">
        <f>COUNTIF(Calendario!C9:H9,"TT")</f>
        <v/>
      </c>
      <c r="F12" s="6">
        <f>COUNTIF(Calendario!C9:H9,"TN")</f>
        <v/>
      </c>
      <c r="G12" s="6">
        <f>COUNTIF(Calendario!C9:H9,"FV")</f>
        <v/>
      </c>
      <c r="H12" s="6">
        <f>COUNTIF(Calendario!C9:H9,"FN")</f>
        <v/>
      </c>
      <c r="I12" s="6">
        <f>D12+E12+F12</f>
        <v/>
      </c>
      <c r="J12" s="6">
        <f>IF(C12&gt;=6,"SI","")</f>
        <v/>
      </c>
      <c r="K12" s="6">
        <f>IF(C12&gt;=5,"SI","")</f>
        <v/>
      </c>
      <c r="L12" s="6">
        <f>IF(C12&gt;=4,"SI","")</f>
        <v/>
      </c>
      <c r="M12" s="6">
        <f>IF(C12&gt;=3,"SI","")</f>
        <v/>
      </c>
      <c r="N12" s="6">
        <f>IF(H12=6,"SI","")</f>
        <v/>
      </c>
      <c r="O12" s="34">
        <f>C12/6</f>
        <v/>
      </c>
    </row>
    <row r="13">
      <c r="A13" s="35" t="n">
        <v>46211</v>
      </c>
      <c r="B13" s="36" t="inlineStr">
        <is>
          <t>Mie</t>
        </is>
      </c>
      <c r="C13" s="6">
        <f>COUNTIF(Calendario!C10:H10,"")</f>
        <v/>
      </c>
      <c r="D13" s="6">
        <f>COUNTIF(Calendario!C10:H10,"TM")</f>
        <v/>
      </c>
      <c r="E13" s="6">
        <f>COUNTIF(Calendario!C10:H10,"TT")</f>
        <v/>
      </c>
      <c r="F13" s="6">
        <f>COUNTIF(Calendario!C10:H10,"TN")</f>
        <v/>
      </c>
      <c r="G13" s="6">
        <f>COUNTIF(Calendario!C10:H10,"FV")</f>
        <v/>
      </c>
      <c r="H13" s="6">
        <f>COUNTIF(Calendario!C10:H10,"FN")</f>
        <v/>
      </c>
      <c r="I13" s="6">
        <f>D13+E13+F13</f>
        <v/>
      </c>
      <c r="J13" s="6">
        <f>IF(C13&gt;=6,"SI","")</f>
        <v/>
      </c>
      <c r="K13" s="6">
        <f>IF(C13&gt;=5,"SI","")</f>
        <v/>
      </c>
      <c r="L13" s="6">
        <f>IF(C13&gt;=4,"SI","")</f>
        <v/>
      </c>
      <c r="M13" s="6">
        <f>IF(C13&gt;=3,"SI","")</f>
        <v/>
      </c>
      <c r="N13" s="6">
        <f>IF(H13=6,"SI","")</f>
        <v/>
      </c>
      <c r="O13" s="34">
        <f>C13/6</f>
        <v/>
      </c>
    </row>
    <row r="14">
      <c r="A14" s="33" t="n">
        <v>46212</v>
      </c>
      <c r="B14" s="6" t="inlineStr">
        <is>
          <t>Jue</t>
        </is>
      </c>
      <c r="C14" s="6">
        <f>COUNTIF(Calendario!C11:H11,"")</f>
        <v/>
      </c>
      <c r="D14" s="6">
        <f>COUNTIF(Calendario!C11:H11,"TM")</f>
        <v/>
      </c>
      <c r="E14" s="6">
        <f>COUNTIF(Calendario!C11:H11,"TT")</f>
        <v/>
      </c>
      <c r="F14" s="6">
        <f>COUNTIF(Calendario!C11:H11,"TN")</f>
        <v/>
      </c>
      <c r="G14" s="6">
        <f>COUNTIF(Calendario!C11:H11,"FV")</f>
        <v/>
      </c>
      <c r="H14" s="6">
        <f>COUNTIF(Calendario!C11:H11,"FN")</f>
        <v/>
      </c>
      <c r="I14" s="6">
        <f>D14+E14+F14</f>
        <v/>
      </c>
      <c r="J14" s="6">
        <f>IF(C14&gt;=6,"SI","")</f>
        <v/>
      </c>
      <c r="K14" s="6">
        <f>IF(C14&gt;=5,"SI","")</f>
        <v/>
      </c>
      <c r="L14" s="6">
        <f>IF(C14&gt;=4,"SI","")</f>
        <v/>
      </c>
      <c r="M14" s="6">
        <f>IF(C14&gt;=3,"SI","")</f>
        <v/>
      </c>
      <c r="N14" s="6">
        <f>IF(H14=6,"SI","")</f>
        <v/>
      </c>
      <c r="O14" s="34">
        <f>C14/6</f>
        <v/>
      </c>
    </row>
    <row r="15">
      <c r="A15" s="35" t="n">
        <v>46213</v>
      </c>
      <c r="B15" s="36" t="inlineStr">
        <is>
          <t>Vie</t>
        </is>
      </c>
      <c r="C15" s="6">
        <f>COUNTIF(Calendario!C12:H12,"")</f>
        <v/>
      </c>
      <c r="D15" s="6">
        <f>COUNTIF(Calendario!C12:H12,"TM")</f>
        <v/>
      </c>
      <c r="E15" s="6">
        <f>COUNTIF(Calendario!C12:H12,"TT")</f>
        <v/>
      </c>
      <c r="F15" s="6">
        <f>COUNTIF(Calendario!C12:H12,"TN")</f>
        <v/>
      </c>
      <c r="G15" s="6">
        <f>COUNTIF(Calendario!C12:H12,"FV")</f>
        <v/>
      </c>
      <c r="H15" s="6">
        <f>COUNTIF(Calendario!C12:H12,"FN")</f>
        <v/>
      </c>
      <c r="I15" s="6">
        <f>D15+E15+F15</f>
        <v/>
      </c>
      <c r="J15" s="6">
        <f>IF(C15&gt;=6,"SI","")</f>
        <v/>
      </c>
      <c r="K15" s="6">
        <f>IF(C15&gt;=5,"SI","")</f>
        <v/>
      </c>
      <c r="L15" s="6">
        <f>IF(C15&gt;=4,"SI","")</f>
        <v/>
      </c>
      <c r="M15" s="6">
        <f>IF(C15&gt;=3,"SI","")</f>
        <v/>
      </c>
      <c r="N15" s="6">
        <f>IF(H15=6,"SI","")</f>
        <v/>
      </c>
      <c r="O15" s="34">
        <f>C15/6</f>
        <v/>
      </c>
    </row>
    <row r="16">
      <c r="A16" s="7" t="n">
        <v>46214</v>
      </c>
      <c r="B16" s="8" t="inlineStr">
        <is>
          <t>Sab</t>
        </is>
      </c>
      <c r="C16" s="6">
        <f>COUNTIF(Calendario!C13:H13,"")</f>
        <v/>
      </c>
      <c r="D16" s="6">
        <f>COUNTIF(Calendario!C13:H13,"TM")</f>
        <v/>
      </c>
      <c r="E16" s="6">
        <f>COUNTIF(Calendario!C13:H13,"TT")</f>
        <v/>
      </c>
      <c r="F16" s="6">
        <f>COUNTIF(Calendario!C13:H13,"TN")</f>
        <v/>
      </c>
      <c r="G16" s="6">
        <f>COUNTIF(Calendario!C13:H13,"FV")</f>
        <v/>
      </c>
      <c r="H16" s="6">
        <f>COUNTIF(Calendario!C13:H13,"FN")</f>
        <v/>
      </c>
      <c r="I16" s="6">
        <f>D16+E16+F16</f>
        <v/>
      </c>
      <c r="J16" s="6">
        <f>IF(C16&gt;=6,"SI","")</f>
        <v/>
      </c>
      <c r="K16" s="6">
        <f>IF(C16&gt;=5,"SI","")</f>
        <v/>
      </c>
      <c r="L16" s="6">
        <f>IF(C16&gt;=4,"SI","")</f>
        <v/>
      </c>
      <c r="M16" s="6">
        <f>IF(C16&gt;=3,"SI","")</f>
        <v/>
      </c>
      <c r="N16" s="6">
        <f>IF(H16=6,"SI","")</f>
        <v/>
      </c>
      <c r="O16" s="34">
        <f>C16/6</f>
        <v/>
      </c>
    </row>
    <row r="17">
      <c r="A17" s="7" t="n">
        <v>46215</v>
      </c>
      <c r="B17" s="8" t="inlineStr">
        <is>
          <t>Dom</t>
        </is>
      </c>
      <c r="C17" s="6">
        <f>COUNTIF(Calendario!C14:H14,"")</f>
        <v/>
      </c>
      <c r="D17" s="6">
        <f>COUNTIF(Calendario!C14:H14,"TM")</f>
        <v/>
      </c>
      <c r="E17" s="6">
        <f>COUNTIF(Calendario!C14:H14,"TT")</f>
        <v/>
      </c>
      <c r="F17" s="6">
        <f>COUNTIF(Calendario!C14:H14,"TN")</f>
        <v/>
      </c>
      <c r="G17" s="6">
        <f>COUNTIF(Calendario!C14:H14,"FV")</f>
        <v/>
      </c>
      <c r="H17" s="6">
        <f>COUNTIF(Calendario!C14:H14,"FN")</f>
        <v/>
      </c>
      <c r="I17" s="6">
        <f>D17+E17+F17</f>
        <v/>
      </c>
      <c r="J17" s="6">
        <f>IF(C17&gt;=6,"SI","")</f>
        <v/>
      </c>
      <c r="K17" s="6">
        <f>IF(C17&gt;=5,"SI","")</f>
        <v/>
      </c>
      <c r="L17" s="6">
        <f>IF(C17&gt;=4,"SI","")</f>
        <v/>
      </c>
      <c r="M17" s="6">
        <f>IF(C17&gt;=3,"SI","")</f>
        <v/>
      </c>
      <c r="N17" s="6">
        <f>IF(H17=6,"SI","")</f>
        <v/>
      </c>
      <c r="O17" s="34">
        <f>C17/6</f>
        <v/>
      </c>
    </row>
    <row r="18">
      <c r="A18" s="33" t="n">
        <v>46216</v>
      </c>
      <c r="B18" s="6" t="inlineStr">
        <is>
          <t>Lun</t>
        </is>
      </c>
      <c r="C18" s="6">
        <f>COUNTIF(Calendario!C15:H15,"")</f>
        <v/>
      </c>
      <c r="D18" s="6">
        <f>COUNTIF(Calendario!C15:H15,"TM")</f>
        <v/>
      </c>
      <c r="E18" s="6">
        <f>COUNTIF(Calendario!C15:H15,"TT")</f>
        <v/>
      </c>
      <c r="F18" s="6">
        <f>COUNTIF(Calendario!C15:H15,"TN")</f>
        <v/>
      </c>
      <c r="G18" s="6">
        <f>COUNTIF(Calendario!C15:H15,"FV")</f>
        <v/>
      </c>
      <c r="H18" s="6">
        <f>COUNTIF(Calendario!C15:H15,"FN")</f>
        <v/>
      </c>
      <c r="I18" s="6">
        <f>D18+E18+F18</f>
        <v/>
      </c>
      <c r="J18" s="6">
        <f>IF(C18&gt;=6,"SI","")</f>
        <v/>
      </c>
      <c r="K18" s="6">
        <f>IF(C18&gt;=5,"SI","")</f>
        <v/>
      </c>
      <c r="L18" s="6">
        <f>IF(C18&gt;=4,"SI","")</f>
        <v/>
      </c>
      <c r="M18" s="6">
        <f>IF(C18&gt;=3,"SI","")</f>
        <v/>
      </c>
      <c r="N18" s="6">
        <f>IF(H18=6,"SI","")</f>
        <v/>
      </c>
      <c r="O18" s="34">
        <f>C18/6</f>
        <v/>
      </c>
    </row>
    <row r="19">
      <c r="A19" s="35" t="n">
        <v>46217</v>
      </c>
      <c r="B19" s="36" t="inlineStr">
        <is>
          <t>Mar</t>
        </is>
      </c>
      <c r="C19" s="6">
        <f>COUNTIF(Calendario!C16:H16,"")</f>
        <v/>
      </c>
      <c r="D19" s="6">
        <f>COUNTIF(Calendario!C16:H16,"TM")</f>
        <v/>
      </c>
      <c r="E19" s="6">
        <f>COUNTIF(Calendario!C16:H16,"TT")</f>
        <v/>
      </c>
      <c r="F19" s="6">
        <f>COUNTIF(Calendario!C16:H16,"TN")</f>
        <v/>
      </c>
      <c r="G19" s="6">
        <f>COUNTIF(Calendario!C16:H16,"FV")</f>
        <v/>
      </c>
      <c r="H19" s="6">
        <f>COUNTIF(Calendario!C16:H16,"FN")</f>
        <v/>
      </c>
      <c r="I19" s="6">
        <f>D19+E19+F19</f>
        <v/>
      </c>
      <c r="J19" s="6">
        <f>IF(C19&gt;=6,"SI","")</f>
        <v/>
      </c>
      <c r="K19" s="6">
        <f>IF(C19&gt;=5,"SI","")</f>
        <v/>
      </c>
      <c r="L19" s="6">
        <f>IF(C19&gt;=4,"SI","")</f>
        <v/>
      </c>
      <c r="M19" s="6">
        <f>IF(C19&gt;=3,"SI","")</f>
        <v/>
      </c>
      <c r="N19" s="6">
        <f>IF(H19=6,"SI","")</f>
        <v/>
      </c>
      <c r="O19" s="34">
        <f>C19/6</f>
        <v/>
      </c>
    </row>
    <row r="20">
      <c r="A20" s="33" t="n">
        <v>46218</v>
      </c>
      <c r="B20" s="6" t="inlineStr">
        <is>
          <t>Mie</t>
        </is>
      </c>
      <c r="C20" s="6">
        <f>COUNTIF(Calendario!C17:H17,"")</f>
        <v/>
      </c>
      <c r="D20" s="6">
        <f>COUNTIF(Calendario!C17:H17,"TM")</f>
        <v/>
      </c>
      <c r="E20" s="6">
        <f>COUNTIF(Calendario!C17:H17,"TT")</f>
        <v/>
      </c>
      <c r="F20" s="6">
        <f>COUNTIF(Calendario!C17:H17,"TN")</f>
        <v/>
      </c>
      <c r="G20" s="6">
        <f>COUNTIF(Calendario!C17:H17,"FV")</f>
        <v/>
      </c>
      <c r="H20" s="6">
        <f>COUNTIF(Calendario!C17:H17,"FN")</f>
        <v/>
      </c>
      <c r="I20" s="6">
        <f>D20+E20+F20</f>
        <v/>
      </c>
      <c r="J20" s="6">
        <f>IF(C20&gt;=6,"SI","")</f>
        <v/>
      </c>
      <c r="K20" s="6">
        <f>IF(C20&gt;=5,"SI","")</f>
        <v/>
      </c>
      <c r="L20" s="6">
        <f>IF(C20&gt;=4,"SI","")</f>
        <v/>
      </c>
      <c r="M20" s="6">
        <f>IF(C20&gt;=3,"SI","")</f>
        <v/>
      </c>
      <c r="N20" s="6">
        <f>IF(H20=6,"SI","")</f>
        <v/>
      </c>
      <c r="O20" s="34">
        <f>C20/6</f>
        <v/>
      </c>
    </row>
    <row r="21">
      <c r="A21" s="35" t="n">
        <v>46219</v>
      </c>
      <c r="B21" s="36" t="inlineStr">
        <is>
          <t>Jue</t>
        </is>
      </c>
      <c r="C21" s="6">
        <f>COUNTIF(Calendario!C18:H18,"")</f>
        <v/>
      </c>
      <c r="D21" s="6">
        <f>COUNTIF(Calendario!C18:H18,"TM")</f>
        <v/>
      </c>
      <c r="E21" s="6">
        <f>COUNTIF(Calendario!C18:H18,"TT")</f>
        <v/>
      </c>
      <c r="F21" s="6">
        <f>COUNTIF(Calendario!C18:H18,"TN")</f>
        <v/>
      </c>
      <c r="G21" s="6">
        <f>COUNTIF(Calendario!C18:H18,"FV")</f>
        <v/>
      </c>
      <c r="H21" s="6">
        <f>COUNTIF(Calendario!C18:H18,"FN")</f>
        <v/>
      </c>
      <c r="I21" s="6">
        <f>D21+E21+F21</f>
        <v/>
      </c>
      <c r="J21" s="6">
        <f>IF(C21&gt;=6,"SI","")</f>
        <v/>
      </c>
      <c r="K21" s="6">
        <f>IF(C21&gt;=5,"SI","")</f>
        <v/>
      </c>
      <c r="L21" s="6">
        <f>IF(C21&gt;=4,"SI","")</f>
        <v/>
      </c>
      <c r="M21" s="6">
        <f>IF(C21&gt;=3,"SI","")</f>
        <v/>
      </c>
      <c r="N21" s="6">
        <f>IF(H21=6,"SI","")</f>
        <v/>
      </c>
      <c r="O21" s="34">
        <f>C21/6</f>
        <v/>
      </c>
    </row>
    <row r="22">
      <c r="A22" s="33" t="n">
        <v>46220</v>
      </c>
      <c r="B22" s="6" t="inlineStr">
        <is>
          <t>Vie</t>
        </is>
      </c>
      <c r="C22" s="6">
        <f>COUNTIF(Calendario!C19:H19,"")</f>
        <v/>
      </c>
      <c r="D22" s="6">
        <f>COUNTIF(Calendario!C19:H19,"TM")</f>
        <v/>
      </c>
      <c r="E22" s="6">
        <f>COUNTIF(Calendario!C19:H19,"TT")</f>
        <v/>
      </c>
      <c r="F22" s="6">
        <f>COUNTIF(Calendario!C19:H19,"TN")</f>
        <v/>
      </c>
      <c r="G22" s="6">
        <f>COUNTIF(Calendario!C19:H19,"FV")</f>
        <v/>
      </c>
      <c r="H22" s="6">
        <f>COUNTIF(Calendario!C19:H19,"FN")</f>
        <v/>
      </c>
      <c r="I22" s="6">
        <f>D22+E22+F22</f>
        <v/>
      </c>
      <c r="J22" s="6">
        <f>IF(C22&gt;=6,"SI","")</f>
        <v/>
      </c>
      <c r="K22" s="6">
        <f>IF(C22&gt;=5,"SI","")</f>
        <v/>
      </c>
      <c r="L22" s="6">
        <f>IF(C22&gt;=4,"SI","")</f>
        <v/>
      </c>
      <c r="M22" s="6">
        <f>IF(C22&gt;=3,"SI","")</f>
        <v/>
      </c>
      <c r="N22" s="6">
        <f>IF(H22=6,"SI","")</f>
        <v/>
      </c>
      <c r="O22" s="34">
        <f>C22/6</f>
        <v/>
      </c>
    </row>
    <row r="23">
      <c r="A23" s="7" t="n">
        <v>46221</v>
      </c>
      <c r="B23" s="8" t="inlineStr">
        <is>
          <t>Sab</t>
        </is>
      </c>
      <c r="C23" s="6">
        <f>COUNTIF(Calendario!C20:H20,"")</f>
        <v/>
      </c>
      <c r="D23" s="6">
        <f>COUNTIF(Calendario!C20:H20,"TM")</f>
        <v/>
      </c>
      <c r="E23" s="6">
        <f>COUNTIF(Calendario!C20:H20,"TT")</f>
        <v/>
      </c>
      <c r="F23" s="6">
        <f>COUNTIF(Calendario!C20:H20,"TN")</f>
        <v/>
      </c>
      <c r="G23" s="6">
        <f>COUNTIF(Calendario!C20:H20,"FV")</f>
        <v/>
      </c>
      <c r="H23" s="6">
        <f>COUNTIF(Calendario!C20:H20,"FN")</f>
        <v/>
      </c>
      <c r="I23" s="6">
        <f>D23+E23+F23</f>
        <v/>
      </c>
      <c r="J23" s="6">
        <f>IF(C23&gt;=6,"SI","")</f>
        <v/>
      </c>
      <c r="K23" s="6">
        <f>IF(C23&gt;=5,"SI","")</f>
        <v/>
      </c>
      <c r="L23" s="6">
        <f>IF(C23&gt;=4,"SI","")</f>
        <v/>
      </c>
      <c r="M23" s="6">
        <f>IF(C23&gt;=3,"SI","")</f>
        <v/>
      </c>
      <c r="N23" s="6">
        <f>IF(H23=6,"SI","")</f>
        <v/>
      </c>
      <c r="O23" s="34">
        <f>C23/6</f>
        <v/>
      </c>
    </row>
    <row r="24">
      <c r="A24" s="7" t="n">
        <v>46222</v>
      </c>
      <c r="B24" s="8" t="inlineStr">
        <is>
          <t>Dom</t>
        </is>
      </c>
      <c r="C24" s="6">
        <f>COUNTIF(Calendario!C21:H21,"")</f>
        <v/>
      </c>
      <c r="D24" s="6">
        <f>COUNTIF(Calendario!C21:H21,"TM")</f>
        <v/>
      </c>
      <c r="E24" s="6">
        <f>COUNTIF(Calendario!C21:H21,"TT")</f>
        <v/>
      </c>
      <c r="F24" s="6">
        <f>COUNTIF(Calendario!C21:H21,"TN")</f>
        <v/>
      </c>
      <c r="G24" s="6">
        <f>COUNTIF(Calendario!C21:H21,"FV")</f>
        <v/>
      </c>
      <c r="H24" s="6">
        <f>COUNTIF(Calendario!C21:H21,"FN")</f>
        <v/>
      </c>
      <c r="I24" s="6">
        <f>D24+E24+F24</f>
        <v/>
      </c>
      <c r="J24" s="6">
        <f>IF(C24&gt;=6,"SI","")</f>
        <v/>
      </c>
      <c r="K24" s="6">
        <f>IF(C24&gt;=5,"SI","")</f>
        <v/>
      </c>
      <c r="L24" s="6">
        <f>IF(C24&gt;=4,"SI","")</f>
        <v/>
      </c>
      <c r="M24" s="6">
        <f>IF(C24&gt;=3,"SI","")</f>
        <v/>
      </c>
      <c r="N24" s="6">
        <f>IF(H24=6,"SI","")</f>
        <v/>
      </c>
      <c r="O24" s="34">
        <f>C24/6</f>
        <v/>
      </c>
    </row>
    <row r="25">
      <c r="A25" s="35" t="n">
        <v>46223</v>
      </c>
      <c r="B25" s="36" t="inlineStr">
        <is>
          <t>Lun</t>
        </is>
      </c>
      <c r="C25" s="6">
        <f>COUNTIF(Calendario!C22:H22,"")</f>
        <v/>
      </c>
      <c r="D25" s="6">
        <f>COUNTIF(Calendario!C22:H22,"TM")</f>
        <v/>
      </c>
      <c r="E25" s="6">
        <f>COUNTIF(Calendario!C22:H22,"TT")</f>
        <v/>
      </c>
      <c r="F25" s="6">
        <f>COUNTIF(Calendario!C22:H22,"TN")</f>
        <v/>
      </c>
      <c r="G25" s="6">
        <f>COUNTIF(Calendario!C22:H22,"FV")</f>
        <v/>
      </c>
      <c r="H25" s="6">
        <f>COUNTIF(Calendario!C22:H22,"FN")</f>
        <v/>
      </c>
      <c r="I25" s="6">
        <f>D25+E25+F25</f>
        <v/>
      </c>
      <c r="J25" s="6">
        <f>IF(C25&gt;=6,"SI","")</f>
        <v/>
      </c>
      <c r="K25" s="6">
        <f>IF(C25&gt;=5,"SI","")</f>
        <v/>
      </c>
      <c r="L25" s="6">
        <f>IF(C25&gt;=4,"SI","")</f>
        <v/>
      </c>
      <c r="M25" s="6">
        <f>IF(C25&gt;=3,"SI","")</f>
        <v/>
      </c>
      <c r="N25" s="6">
        <f>IF(H25=6,"SI","")</f>
        <v/>
      </c>
      <c r="O25" s="34">
        <f>C25/6</f>
        <v/>
      </c>
    </row>
    <row r="26">
      <c r="A26" s="33" t="n">
        <v>46224</v>
      </c>
      <c r="B26" s="6" t="inlineStr">
        <is>
          <t>Mar</t>
        </is>
      </c>
      <c r="C26" s="6">
        <f>COUNTIF(Calendario!C23:H23,"")</f>
        <v/>
      </c>
      <c r="D26" s="6">
        <f>COUNTIF(Calendario!C23:H23,"TM")</f>
        <v/>
      </c>
      <c r="E26" s="6">
        <f>COUNTIF(Calendario!C23:H23,"TT")</f>
        <v/>
      </c>
      <c r="F26" s="6">
        <f>COUNTIF(Calendario!C23:H23,"TN")</f>
        <v/>
      </c>
      <c r="G26" s="6">
        <f>COUNTIF(Calendario!C23:H23,"FV")</f>
        <v/>
      </c>
      <c r="H26" s="6">
        <f>COUNTIF(Calendario!C23:H23,"FN")</f>
        <v/>
      </c>
      <c r="I26" s="6">
        <f>D26+E26+F26</f>
        <v/>
      </c>
      <c r="J26" s="6">
        <f>IF(C26&gt;=6,"SI","")</f>
        <v/>
      </c>
      <c r="K26" s="6">
        <f>IF(C26&gt;=5,"SI","")</f>
        <v/>
      </c>
      <c r="L26" s="6">
        <f>IF(C26&gt;=4,"SI","")</f>
        <v/>
      </c>
      <c r="M26" s="6">
        <f>IF(C26&gt;=3,"SI","")</f>
        <v/>
      </c>
      <c r="N26" s="6">
        <f>IF(H26=6,"SI","")</f>
        <v/>
      </c>
      <c r="O26" s="34">
        <f>C26/6</f>
        <v/>
      </c>
    </row>
    <row r="27">
      <c r="A27" s="35" t="n">
        <v>46225</v>
      </c>
      <c r="B27" s="36" t="inlineStr">
        <is>
          <t>Mie</t>
        </is>
      </c>
      <c r="C27" s="6">
        <f>COUNTIF(Calendario!C24:H24,"")</f>
        <v/>
      </c>
      <c r="D27" s="6">
        <f>COUNTIF(Calendario!C24:H24,"TM")</f>
        <v/>
      </c>
      <c r="E27" s="6">
        <f>COUNTIF(Calendario!C24:H24,"TT")</f>
        <v/>
      </c>
      <c r="F27" s="6">
        <f>COUNTIF(Calendario!C24:H24,"TN")</f>
        <v/>
      </c>
      <c r="G27" s="6">
        <f>COUNTIF(Calendario!C24:H24,"FV")</f>
        <v/>
      </c>
      <c r="H27" s="6">
        <f>COUNTIF(Calendario!C24:H24,"FN")</f>
        <v/>
      </c>
      <c r="I27" s="6">
        <f>D27+E27+F27</f>
        <v/>
      </c>
      <c r="J27" s="6">
        <f>IF(C27&gt;=6,"SI","")</f>
        <v/>
      </c>
      <c r="K27" s="6">
        <f>IF(C27&gt;=5,"SI","")</f>
        <v/>
      </c>
      <c r="L27" s="6">
        <f>IF(C27&gt;=4,"SI","")</f>
        <v/>
      </c>
      <c r="M27" s="6">
        <f>IF(C27&gt;=3,"SI","")</f>
        <v/>
      </c>
      <c r="N27" s="6">
        <f>IF(H27=6,"SI","")</f>
        <v/>
      </c>
      <c r="O27" s="34">
        <f>C27/6</f>
        <v/>
      </c>
    </row>
    <row r="28">
      <c r="A28" s="33" t="n">
        <v>46226</v>
      </c>
      <c r="B28" s="6" t="inlineStr">
        <is>
          <t>Jue</t>
        </is>
      </c>
      <c r="C28" s="6">
        <f>COUNTIF(Calendario!C25:H25,"")</f>
        <v/>
      </c>
      <c r="D28" s="6">
        <f>COUNTIF(Calendario!C25:H25,"TM")</f>
        <v/>
      </c>
      <c r="E28" s="6">
        <f>COUNTIF(Calendario!C25:H25,"TT")</f>
        <v/>
      </c>
      <c r="F28" s="6">
        <f>COUNTIF(Calendario!C25:H25,"TN")</f>
        <v/>
      </c>
      <c r="G28" s="6">
        <f>COUNTIF(Calendario!C25:H25,"FV")</f>
        <v/>
      </c>
      <c r="H28" s="6">
        <f>COUNTIF(Calendario!C25:H25,"FN")</f>
        <v/>
      </c>
      <c r="I28" s="6">
        <f>D28+E28+F28</f>
        <v/>
      </c>
      <c r="J28" s="6">
        <f>IF(C28&gt;=6,"SI","")</f>
        <v/>
      </c>
      <c r="K28" s="6">
        <f>IF(C28&gt;=5,"SI","")</f>
        <v/>
      </c>
      <c r="L28" s="6">
        <f>IF(C28&gt;=4,"SI","")</f>
        <v/>
      </c>
      <c r="M28" s="6">
        <f>IF(C28&gt;=3,"SI","")</f>
        <v/>
      </c>
      <c r="N28" s="6">
        <f>IF(H28=6,"SI","")</f>
        <v/>
      </c>
      <c r="O28" s="34">
        <f>C28/6</f>
        <v/>
      </c>
    </row>
    <row r="29">
      <c r="A29" s="35" t="n">
        <v>46227</v>
      </c>
      <c r="B29" s="36" t="inlineStr">
        <is>
          <t>Vie</t>
        </is>
      </c>
      <c r="C29" s="6">
        <f>COUNTIF(Calendario!C26:H26,"")</f>
        <v/>
      </c>
      <c r="D29" s="6">
        <f>COUNTIF(Calendario!C26:H26,"TM")</f>
        <v/>
      </c>
      <c r="E29" s="6">
        <f>COUNTIF(Calendario!C26:H26,"TT")</f>
        <v/>
      </c>
      <c r="F29" s="6">
        <f>COUNTIF(Calendario!C26:H26,"TN")</f>
        <v/>
      </c>
      <c r="G29" s="6">
        <f>COUNTIF(Calendario!C26:H26,"FV")</f>
        <v/>
      </c>
      <c r="H29" s="6">
        <f>COUNTIF(Calendario!C26:H26,"FN")</f>
        <v/>
      </c>
      <c r="I29" s="6">
        <f>D29+E29+F29</f>
        <v/>
      </c>
      <c r="J29" s="6">
        <f>IF(C29&gt;=6,"SI","")</f>
        <v/>
      </c>
      <c r="K29" s="6">
        <f>IF(C29&gt;=5,"SI","")</f>
        <v/>
      </c>
      <c r="L29" s="6">
        <f>IF(C29&gt;=4,"SI","")</f>
        <v/>
      </c>
      <c r="M29" s="6">
        <f>IF(C29&gt;=3,"SI","")</f>
        <v/>
      </c>
      <c r="N29" s="6">
        <f>IF(H29=6,"SI","")</f>
        <v/>
      </c>
      <c r="O29" s="34">
        <f>C29/6</f>
        <v/>
      </c>
    </row>
    <row r="30">
      <c r="A30" s="7" t="n">
        <v>46228</v>
      </c>
      <c r="B30" s="8" t="inlineStr">
        <is>
          <t>Sab</t>
        </is>
      </c>
      <c r="C30" s="6">
        <f>COUNTIF(Calendario!C27:H27,"")</f>
        <v/>
      </c>
      <c r="D30" s="6">
        <f>COUNTIF(Calendario!C27:H27,"TM")</f>
        <v/>
      </c>
      <c r="E30" s="6">
        <f>COUNTIF(Calendario!C27:H27,"TT")</f>
        <v/>
      </c>
      <c r="F30" s="6">
        <f>COUNTIF(Calendario!C27:H27,"TN")</f>
        <v/>
      </c>
      <c r="G30" s="6">
        <f>COUNTIF(Calendario!C27:H27,"FV")</f>
        <v/>
      </c>
      <c r="H30" s="6">
        <f>COUNTIF(Calendario!C27:H27,"FN")</f>
        <v/>
      </c>
      <c r="I30" s="6">
        <f>D30+E30+F30</f>
        <v/>
      </c>
      <c r="J30" s="6">
        <f>IF(C30&gt;=6,"SI","")</f>
        <v/>
      </c>
      <c r="K30" s="6">
        <f>IF(C30&gt;=5,"SI","")</f>
        <v/>
      </c>
      <c r="L30" s="6">
        <f>IF(C30&gt;=4,"SI","")</f>
        <v/>
      </c>
      <c r="M30" s="6">
        <f>IF(C30&gt;=3,"SI","")</f>
        <v/>
      </c>
      <c r="N30" s="6">
        <f>IF(H30=6,"SI","")</f>
        <v/>
      </c>
      <c r="O30" s="34">
        <f>C30/6</f>
        <v/>
      </c>
    </row>
    <row r="31">
      <c r="A31" s="7" t="n">
        <v>46229</v>
      </c>
      <c r="B31" s="8" t="inlineStr">
        <is>
          <t>Dom</t>
        </is>
      </c>
      <c r="C31" s="6">
        <f>COUNTIF(Calendario!C28:H28,"")</f>
        <v/>
      </c>
      <c r="D31" s="6">
        <f>COUNTIF(Calendario!C28:H28,"TM")</f>
        <v/>
      </c>
      <c r="E31" s="6">
        <f>COUNTIF(Calendario!C28:H28,"TT")</f>
        <v/>
      </c>
      <c r="F31" s="6">
        <f>COUNTIF(Calendario!C28:H28,"TN")</f>
        <v/>
      </c>
      <c r="G31" s="6">
        <f>COUNTIF(Calendario!C28:H28,"FV")</f>
        <v/>
      </c>
      <c r="H31" s="6">
        <f>COUNTIF(Calendario!C28:H28,"FN")</f>
        <v/>
      </c>
      <c r="I31" s="6">
        <f>D31+E31+F31</f>
        <v/>
      </c>
      <c r="J31" s="6">
        <f>IF(C31&gt;=6,"SI","")</f>
        <v/>
      </c>
      <c r="K31" s="6">
        <f>IF(C31&gt;=5,"SI","")</f>
        <v/>
      </c>
      <c r="L31" s="6">
        <f>IF(C31&gt;=4,"SI","")</f>
        <v/>
      </c>
      <c r="M31" s="6">
        <f>IF(C31&gt;=3,"SI","")</f>
        <v/>
      </c>
      <c r="N31" s="6">
        <f>IF(H31=6,"SI","")</f>
        <v/>
      </c>
      <c r="O31" s="34">
        <f>C31/6</f>
        <v/>
      </c>
    </row>
    <row r="32">
      <c r="A32" s="33" t="n">
        <v>46230</v>
      </c>
      <c r="B32" s="6" t="inlineStr">
        <is>
          <t>Lun</t>
        </is>
      </c>
      <c r="C32" s="6">
        <f>COUNTIF(Calendario!C29:H29,"")</f>
        <v/>
      </c>
      <c r="D32" s="6">
        <f>COUNTIF(Calendario!C29:H29,"TM")</f>
        <v/>
      </c>
      <c r="E32" s="6">
        <f>COUNTIF(Calendario!C29:H29,"TT")</f>
        <v/>
      </c>
      <c r="F32" s="6">
        <f>COUNTIF(Calendario!C29:H29,"TN")</f>
        <v/>
      </c>
      <c r="G32" s="6">
        <f>COUNTIF(Calendario!C29:H29,"FV")</f>
        <v/>
      </c>
      <c r="H32" s="6">
        <f>COUNTIF(Calendario!C29:H29,"FN")</f>
        <v/>
      </c>
      <c r="I32" s="6">
        <f>D32+E32+F32</f>
        <v/>
      </c>
      <c r="J32" s="6">
        <f>IF(C32&gt;=6,"SI","")</f>
        <v/>
      </c>
      <c r="K32" s="6">
        <f>IF(C32&gt;=5,"SI","")</f>
        <v/>
      </c>
      <c r="L32" s="6">
        <f>IF(C32&gt;=4,"SI","")</f>
        <v/>
      </c>
      <c r="M32" s="6">
        <f>IF(C32&gt;=3,"SI","")</f>
        <v/>
      </c>
      <c r="N32" s="6">
        <f>IF(H32=6,"SI","")</f>
        <v/>
      </c>
      <c r="O32" s="34">
        <f>C32/6</f>
        <v/>
      </c>
    </row>
    <row r="33">
      <c r="A33" s="35" t="n">
        <v>46231</v>
      </c>
      <c r="B33" s="36" t="inlineStr">
        <is>
          <t>Mar</t>
        </is>
      </c>
      <c r="C33" s="6">
        <f>COUNTIF(Calendario!C30:H30,"")</f>
        <v/>
      </c>
      <c r="D33" s="6">
        <f>COUNTIF(Calendario!C30:H30,"TM")</f>
        <v/>
      </c>
      <c r="E33" s="6">
        <f>COUNTIF(Calendario!C30:H30,"TT")</f>
        <v/>
      </c>
      <c r="F33" s="6">
        <f>COUNTIF(Calendario!C30:H30,"TN")</f>
        <v/>
      </c>
      <c r="G33" s="6">
        <f>COUNTIF(Calendario!C30:H30,"FV")</f>
        <v/>
      </c>
      <c r="H33" s="6">
        <f>COUNTIF(Calendario!C30:H30,"FN")</f>
        <v/>
      </c>
      <c r="I33" s="6">
        <f>D33+E33+F33</f>
        <v/>
      </c>
      <c r="J33" s="6">
        <f>IF(C33&gt;=6,"SI","")</f>
        <v/>
      </c>
      <c r="K33" s="6">
        <f>IF(C33&gt;=5,"SI","")</f>
        <v/>
      </c>
      <c r="L33" s="6">
        <f>IF(C33&gt;=4,"SI","")</f>
        <v/>
      </c>
      <c r="M33" s="6">
        <f>IF(C33&gt;=3,"SI","")</f>
        <v/>
      </c>
      <c r="N33" s="6">
        <f>IF(H33=6,"SI","")</f>
        <v/>
      </c>
      <c r="O33" s="34">
        <f>C33/6</f>
        <v/>
      </c>
    </row>
    <row r="34">
      <c r="A34" s="33" t="n">
        <v>46232</v>
      </c>
      <c r="B34" s="6" t="inlineStr">
        <is>
          <t>Mie</t>
        </is>
      </c>
      <c r="C34" s="6">
        <f>COUNTIF(Calendario!C31:H31,"")</f>
        <v/>
      </c>
      <c r="D34" s="6">
        <f>COUNTIF(Calendario!C31:H31,"TM")</f>
        <v/>
      </c>
      <c r="E34" s="6">
        <f>COUNTIF(Calendario!C31:H31,"TT")</f>
        <v/>
      </c>
      <c r="F34" s="6">
        <f>COUNTIF(Calendario!C31:H31,"TN")</f>
        <v/>
      </c>
      <c r="G34" s="6">
        <f>COUNTIF(Calendario!C31:H31,"FV")</f>
        <v/>
      </c>
      <c r="H34" s="6">
        <f>COUNTIF(Calendario!C31:H31,"FN")</f>
        <v/>
      </c>
      <c r="I34" s="6">
        <f>D34+E34+F34</f>
        <v/>
      </c>
      <c r="J34" s="6">
        <f>IF(C34&gt;=6,"SI","")</f>
        <v/>
      </c>
      <c r="K34" s="6">
        <f>IF(C34&gt;=5,"SI","")</f>
        <v/>
      </c>
      <c r="L34" s="6">
        <f>IF(C34&gt;=4,"SI","")</f>
        <v/>
      </c>
      <c r="M34" s="6">
        <f>IF(C34&gt;=3,"SI","")</f>
        <v/>
      </c>
      <c r="N34" s="6">
        <f>IF(H34=6,"SI","")</f>
        <v/>
      </c>
      <c r="O34" s="34">
        <f>C34/6</f>
        <v/>
      </c>
    </row>
    <row r="35">
      <c r="A35" s="35" t="n">
        <v>46233</v>
      </c>
      <c r="B35" s="36" t="inlineStr">
        <is>
          <t>Jue</t>
        </is>
      </c>
      <c r="C35" s="6">
        <f>COUNTIF(Calendario!C32:H32,"")</f>
        <v/>
      </c>
      <c r="D35" s="6">
        <f>COUNTIF(Calendario!C32:H32,"TM")</f>
        <v/>
      </c>
      <c r="E35" s="6">
        <f>COUNTIF(Calendario!C32:H32,"TT")</f>
        <v/>
      </c>
      <c r="F35" s="6">
        <f>COUNTIF(Calendario!C32:H32,"TN")</f>
        <v/>
      </c>
      <c r="G35" s="6">
        <f>COUNTIF(Calendario!C32:H32,"FV")</f>
        <v/>
      </c>
      <c r="H35" s="6">
        <f>COUNTIF(Calendario!C32:H32,"FN")</f>
        <v/>
      </c>
      <c r="I35" s="6">
        <f>D35+E35+F35</f>
        <v/>
      </c>
      <c r="J35" s="6">
        <f>IF(C35&gt;=6,"SI","")</f>
        <v/>
      </c>
      <c r="K35" s="6">
        <f>IF(C35&gt;=5,"SI","")</f>
        <v/>
      </c>
      <c r="L35" s="6">
        <f>IF(C35&gt;=4,"SI","")</f>
        <v/>
      </c>
      <c r="M35" s="6">
        <f>IF(C35&gt;=3,"SI","")</f>
        <v/>
      </c>
      <c r="N35" s="6">
        <f>IF(H35=6,"SI","")</f>
        <v/>
      </c>
      <c r="O35" s="34">
        <f>C35/6</f>
        <v/>
      </c>
    </row>
    <row r="36">
      <c r="A36" s="33" t="n">
        <v>46234</v>
      </c>
      <c r="B36" s="6" t="inlineStr">
        <is>
          <t>Vie</t>
        </is>
      </c>
      <c r="C36" s="6">
        <f>COUNTIF(Calendario!C33:H33,"")</f>
        <v/>
      </c>
      <c r="D36" s="6">
        <f>COUNTIF(Calendario!C33:H33,"TM")</f>
        <v/>
      </c>
      <c r="E36" s="6">
        <f>COUNTIF(Calendario!C33:H33,"TT")</f>
        <v/>
      </c>
      <c r="F36" s="6">
        <f>COUNTIF(Calendario!C33:H33,"TN")</f>
        <v/>
      </c>
      <c r="G36" s="6">
        <f>COUNTIF(Calendario!C33:H33,"FV")</f>
        <v/>
      </c>
      <c r="H36" s="6">
        <f>COUNTIF(Calendario!C33:H33,"FN")</f>
        <v/>
      </c>
      <c r="I36" s="6">
        <f>D36+E36+F36</f>
        <v/>
      </c>
      <c r="J36" s="6">
        <f>IF(C36&gt;=6,"SI","")</f>
        <v/>
      </c>
      <c r="K36" s="6">
        <f>IF(C36&gt;=5,"SI","")</f>
        <v/>
      </c>
      <c r="L36" s="6">
        <f>IF(C36&gt;=4,"SI","")</f>
        <v/>
      </c>
      <c r="M36" s="6">
        <f>IF(C36&gt;=3,"SI","")</f>
        <v/>
      </c>
      <c r="N36" s="6">
        <f>IF(H36=6,"SI","")</f>
        <v/>
      </c>
      <c r="O36" s="34">
        <f>C36/6</f>
        <v/>
      </c>
    </row>
    <row r="37">
      <c r="A37" s="7" t="n">
        <v>46235</v>
      </c>
      <c r="B37" s="8" t="inlineStr">
        <is>
          <t>Sab</t>
        </is>
      </c>
      <c r="C37" s="6">
        <f>COUNTIF(Calendario!C35:H35,"")</f>
        <v/>
      </c>
      <c r="D37" s="6">
        <f>COUNTIF(Calendario!C35:H35,"TM")</f>
        <v/>
      </c>
      <c r="E37" s="6">
        <f>COUNTIF(Calendario!C35:H35,"TT")</f>
        <v/>
      </c>
      <c r="F37" s="6">
        <f>COUNTIF(Calendario!C35:H35,"TN")</f>
        <v/>
      </c>
      <c r="G37" s="6">
        <f>COUNTIF(Calendario!C35:H35,"FV")</f>
        <v/>
      </c>
      <c r="H37" s="6">
        <f>COUNTIF(Calendario!C35:H35,"FN")</f>
        <v/>
      </c>
      <c r="I37" s="6">
        <f>D37+E37+F37</f>
        <v/>
      </c>
      <c r="J37" s="6">
        <f>IF(C37&gt;=6,"SI","")</f>
        <v/>
      </c>
      <c r="K37" s="6">
        <f>IF(C37&gt;=5,"SI","")</f>
        <v/>
      </c>
      <c r="L37" s="6">
        <f>IF(C37&gt;=4,"SI","")</f>
        <v/>
      </c>
      <c r="M37" s="6">
        <f>IF(C37&gt;=3,"SI","")</f>
        <v/>
      </c>
      <c r="N37" s="6">
        <f>IF(H37=6,"SI","")</f>
        <v/>
      </c>
      <c r="O37" s="34">
        <f>C37/6</f>
        <v/>
      </c>
    </row>
    <row r="38">
      <c r="A38" s="7" t="n">
        <v>46236</v>
      </c>
      <c r="B38" s="8" t="inlineStr">
        <is>
          <t>Dom</t>
        </is>
      </c>
      <c r="C38" s="6">
        <f>COUNTIF(Calendario!C36:H36,"")</f>
        <v/>
      </c>
      <c r="D38" s="6">
        <f>COUNTIF(Calendario!C36:H36,"TM")</f>
        <v/>
      </c>
      <c r="E38" s="6">
        <f>COUNTIF(Calendario!C36:H36,"TT")</f>
        <v/>
      </c>
      <c r="F38" s="6">
        <f>COUNTIF(Calendario!C36:H36,"TN")</f>
        <v/>
      </c>
      <c r="G38" s="6">
        <f>COUNTIF(Calendario!C36:H36,"FV")</f>
        <v/>
      </c>
      <c r="H38" s="6">
        <f>COUNTIF(Calendario!C36:H36,"FN")</f>
        <v/>
      </c>
      <c r="I38" s="6">
        <f>D38+E38+F38</f>
        <v/>
      </c>
      <c r="J38" s="6">
        <f>IF(C38&gt;=6,"SI","")</f>
        <v/>
      </c>
      <c r="K38" s="6">
        <f>IF(C38&gt;=5,"SI","")</f>
        <v/>
      </c>
      <c r="L38" s="6">
        <f>IF(C38&gt;=4,"SI","")</f>
        <v/>
      </c>
      <c r="M38" s="6">
        <f>IF(C38&gt;=3,"SI","")</f>
        <v/>
      </c>
      <c r="N38" s="6">
        <f>IF(H38=6,"SI","")</f>
        <v/>
      </c>
      <c r="O38" s="34">
        <f>C38/6</f>
        <v/>
      </c>
    </row>
    <row r="39">
      <c r="A39" s="35" t="n">
        <v>46237</v>
      </c>
      <c r="B39" s="36" t="inlineStr">
        <is>
          <t>Lun</t>
        </is>
      </c>
      <c r="C39" s="6">
        <f>COUNTIF(Calendario!C37:H37,"")</f>
        <v/>
      </c>
      <c r="D39" s="6">
        <f>COUNTIF(Calendario!C37:H37,"TM")</f>
        <v/>
      </c>
      <c r="E39" s="6">
        <f>COUNTIF(Calendario!C37:H37,"TT")</f>
        <v/>
      </c>
      <c r="F39" s="6">
        <f>COUNTIF(Calendario!C37:H37,"TN")</f>
        <v/>
      </c>
      <c r="G39" s="6">
        <f>COUNTIF(Calendario!C37:H37,"FV")</f>
        <v/>
      </c>
      <c r="H39" s="6">
        <f>COUNTIF(Calendario!C37:H37,"FN")</f>
        <v/>
      </c>
      <c r="I39" s="6">
        <f>D39+E39+F39</f>
        <v/>
      </c>
      <c r="J39" s="6">
        <f>IF(C39&gt;=6,"SI","")</f>
        <v/>
      </c>
      <c r="K39" s="6">
        <f>IF(C39&gt;=5,"SI","")</f>
        <v/>
      </c>
      <c r="L39" s="6">
        <f>IF(C39&gt;=4,"SI","")</f>
        <v/>
      </c>
      <c r="M39" s="6">
        <f>IF(C39&gt;=3,"SI","")</f>
        <v/>
      </c>
      <c r="N39" s="6">
        <f>IF(H39=6,"SI","")</f>
        <v/>
      </c>
      <c r="O39" s="34">
        <f>C39/6</f>
        <v/>
      </c>
    </row>
    <row r="40">
      <c r="A40" s="33" t="n">
        <v>46238</v>
      </c>
      <c r="B40" s="6" t="inlineStr">
        <is>
          <t>Mar</t>
        </is>
      </c>
      <c r="C40" s="6">
        <f>COUNTIF(Calendario!C38:H38,"")</f>
        <v/>
      </c>
      <c r="D40" s="6">
        <f>COUNTIF(Calendario!C38:H38,"TM")</f>
        <v/>
      </c>
      <c r="E40" s="6">
        <f>COUNTIF(Calendario!C38:H38,"TT")</f>
        <v/>
      </c>
      <c r="F40" s="6">
        <f>COUNTIF(Calendario!C38:H38,"TN")</f>
        <v/>
      </c>
      <c r="G40" s="6">
        <f>COUNTIF(Calendario!C38:H38,"FV")</f>
        <v/>
      </c>
      <c r="H40" s="6">
        <f>COUNTIF(Calendario!C38:H38,"FN")</f>
        <v/>
      </c>
      <c r="I40" s="6">
        <f>D40+E40+F40</f>
        <v/>
      </c>
      <c r="J40" s="6">
        <f>IF(C40&gt;=6,"SI","")</f>
        <v/>
      </c>
      <c r="K40" s="6">
        <f>IF(C40&gt;=5,"SI","")</f>
        <v/>
      </c>
      <c r="L40" s="6">
        <f>IF(C40&gt;=4,"SI","")</f>
        <v/>
      </c>
      <c r="M40" s="6">
        <f>IF(C40&gt;=3,"SI","")</f>
        <v/>
      </c>
      <c r="N40" s="6">
        <f>IF(H40=6,"SI","")</f>
        <v/>
      </c>
      <c r="O40" s="34">
        <f>C40/6</f>
        <v/>
      </c>
    </row>
    <row r="41">
      <c r="A41" s="35" t="n">
        <v>46239</v>
      </c>
      <c r="B41" s="36" t="inlineStr">
        <is>
          <t>Mie</t>
        </is>
      </c>
      <c r="C41" s="6">
        <f>COUNTIF(Calendario!C39:H39,"")</f>
        <v/>
      </c>
      <c r="D41" s="6">
        <f>COUNTIF(Calendario!C39:H39,"TM")</f>
        <v/>
      </c>
      <c r="E41" s="6">
        <f>COUNTIF(Calendario!C39:H39,"TT")</f>
        <v/>
      </c>
      <c r="F41" s="6">
        <f>COUNTIF(Calendario!C39:H39,"TN")</f>
        <v/>
      </c>
      <c r="G41" s="6">
        <f>COUNTIF(Calendario!C39:H39,"FV")</f>
        <v/>
      </c>
      <c r="H41" s="6">
        <f>COUNTIF(Calendario!C39:H39,"FN")</f>
        <v/>
      </c>
      <c r="I41" s="6">
        <f>D41+E41+F41</f>
        <v/>
      </c>
      <c r="J41" s="6">
        <f>IF(C41&gt;=6,"SI","")</f>
        <v/>
      </c>
      <c r="K41" s="6">
        <f>IF(C41&gt;=5,"SI","")</f>
        <v/>
      </c>
      <c r="L41" s="6">
        <f>IF(C41&gt;=4,"SI","")</f>
        <v/>
      </c>
      <c r="M41" s="6">
        <f>IF(C41&gt;=3,"SI","")</f>
        <v/>
      </c>
      <c r="N41" s="6">
        <f>IF(H41=6,"SI","")</f>
        <v/>
      </c>
      <c r="O41" s="34">
        <f>C41/6</f>
        <v/>
      </c>
    </row>
    <row r="42">
      <c r="A42" s="33" t="n">
        <v>46240</v>
      </c>
      <c r="B42" s="6" t="inlineStr">
        <is>
          <t>Jue</t>
        </is>
      </c>
      <c r="C42" s="6">
        <f>COUNTIF(Calendario!C40:H40,"")</f>
        <v/>
      </c>
      <c r="D42" s="6">
        <f>COUNTIF(Calendario!C40:H40,"TM")</f>
        <v/>
      </c>
      <c r="E42" s="6">
        <f>COUNTIF(Calendario!C40:H40,"TT")</f>
        <v/>
      </c>
      <c r="F42" s="6">
        <f>COUNTIF(Calendario!C40:H40,"TN")</f>
        <v/>
      </c>
      <c r="G42" s="6">
        <f>COUNTIF(Calendario!C40:H40,"FV")</f>
        <v/>
      </c>
      <c r="H42" s="6">
        <f>COUNTIF(Calendario!C40:H40,"FN")</f>
        <v/>
      </c>
      <c r="I42" s="6">
        <f>D42+E42+F42</f>
        <v/>
      </c>
      <c r="J42" s="6">
        <f>IF(C42&gt;=6,"SI","")</f>
        <v/>
      </c>
      <c r="K42" s="6">
        <f>IF(C42&gt;=5,"SI","")</f>
        <v/>
      </c>
      <c r="L42" s="6">
        <f>IF(C42&gt;=4,"SI","")</f>
        <v/>
      </c>
      <c r="M42" s="6">
        <f>IF(C42&gt;=3,"SI","")</f>
        <v/>
      </c>
      <c r="N42" s="6">
        <f>IF(H42=6,"SI","")</f>
        <v/>
      </c>
      <c r="O42" s="34">
        <f>C42/6</f>
        <v/>
      </c>
    </row>
    <row r="43">
      <c r="A43" s="35" t="n">
        <v>46241</v>
      </c>
      <c r="B43" s="36" t="inlineStr">
        <is>
          <t>Vie</t>
        </is>
      </c>
      <c r="C43" s="6">
        <f>COUNTIF(Calendario!C41:H41,"")</f>
        <v/>
      </c>
      <c r="D43" s="6">
        <f>COUNTIF(Calendario!C41:H41,"TM")</f>
        <v/>
      </c>
      <c r="E43" s="6">
        <f>COUNTIF(Calendario!C41:H41,"TT")</f>
        <v/>
      </c>
      <c r="F43" s="6">
        <f>COUNTIF(Calendario!C41:H41,"TN")</f>
        <v/>
      </c>
      <c r="G43" s="6">
        <f>COUNTIF(Calendario!C41:H41,"FV")</f>
        <v/>
      </c>
      <c r="H43" s="6">
        <f>COUNTIF(Calendario!C41:H41,"FN")</f>
        <v/>
      </c>
      <c r="I43" s="6">
        <f>D43+E43+F43</f>
        <v/>
      </c>
      <c r="J43" s="6">
        <f>IF(C43&gt;=6,"SI","")</f>
        <v/>
      </c>
      <c r="K43" s="6">
        <f>IF(C43&gt;=5,"SI","")</f>
        <v/>
      </c>
      <c r="L43" s="6">
        <f>IF(C43&gt;=4,"SI","")</f>
        <v/>
      </c>
      <c r="M43" s="6">
        <f>IF(C43&gt;=3,"SI","")</f>
        <v/>
      </c>
      <c r="N43" s="6">
        <f>IF(H43=6,"SI","")</f>
        <v/>
      </c>
      <c r="O43" s="34">
        <f>C43/6</f>
        <v/>
      </c>
    </row>
    <row r="44">
      <c r="A44" s="7" t="n">
        <v>46242</v>
      </c>
      <c r="B44" s="8" t="inlineStr">
        <is>
          <t>Sab</t>
        </is>
      </c>
      <c r="C44" s="6">
        <f>COUNTIF(Calendario!C42:H42,"")</f>
        <v/>
      </c>
      <c r="D44" s="6">
        <f>COUNTIF(Calendario!C42:H42,"TM")</f>
        <v/>
      </c>
      <c r="E44" s="6">
        <f>COUNTIF(Calendario!C42:H42,"TT")</f>
        <v/>
      </c>
      <c r="F44" s="6">
        <f>COUNTIF(Calendario!C42:H42,"TN")</f>
        <v/>
      </c>
      <c r="G44" s="6">
        <f>COUNTIF(Calendario!C42:H42,"FV")</f>
        <v/>
      </c>
      <c r="H44" s="6">
        <f>COUNTIF(Calendario!C42:H42,"FN")</f>
        <v/>
      </c>
      <c r="I44" s="6">
        <f>D44+E44+F44</f>
        <v/>
      </c>
      <c r="J44" s="6">
        <f>IF(C44&gt;=6,"SI","")</f>
        <v/>
      </c>
      <c r="K44" s="6">
        <f>IF(C44&gt;=5,"SI","")</f>
        <v/>
      </c>
      <c r="L44" s="6">
        <f>IF(C44&gt;=4,"SI","")</f>
        <v/>
      </c>
      <c r="M44" s="6">
        <f>IF(C44&gt;=3,"SI","")</f>
        <v/>
      </c>
      <c r="N44" s="6">
        <f>IF(H44=6,"SI","")</f>
        <v/>
      </c>
      <c r="O44" s="34">
        <f>C44/6</f>
        <v/>
      </c>
    </row>
    <row r="45">
      <c r="A45" s="7" t="n">
        <v>46243</v>
      </c>
      <c r="B45" s="8" t="inlineStr">
        <is>
          <t>Dom</t>
        </is>
      </c>
      <c r="C45" s="6">
        <f>COUNTIF(Calendario!C43:H43,"")</f>
        <v/>
      </c>
      <c r="D45" s="6">
        <f>COUNTIF(Calendario!C43:H43,"TM")</f>
        <v/>
      </c>
      <c r="E45" s="6">
        <f>COUNTIF(Calendario!C43:H43,"TT")</f>
        <v/>
      </c>
      <c r="F45" s="6">
        <f>COUNTIF(Calendario!C43:H43,"TN")</f>
        <v/>
      </c>
      <c r="G45" s="6">
        <f>COUNTIF(Calendario!C43:H43,"FV")</f>
        <v/>
      </c>
      <c r="H45" s="6">
        <f>COUNTIF(Calendario!C43:H43,"FN")</f>
        <v/>
      </c>
      <c r="I45" s="6">
        <f>D45+E45+F45</f>
        <v/>
      </c>
      <c r="J45" s="6">
        <f>IF(C45&gt;=6,"SI","")</f>
        <v/>
      </c>
      <c r="K45" s="6">
        <f>IF(C45&gt;=5,"SI","")</f>
        <v/>
      </c>
      <c r="L45" s="6">
        <f>IF(C45&gt;=4,"SI","")</f>
        <v/>
      </c>
      <c r="M45" s="6">
        <f>IF(C45&gt;=3,"SI","")</f>
        <v/>
      </c>
      <c r="N45" s="6">
        <f>IF(H45=6,"SI","")</f>
        <v/>
      </c>
      <c r="O45" s="34">
        <f>C45/6</f>
        <v/>
      </c>
    </row>
    <row r="46">
      <c r="A46" s="33" t="n">
        <v>46244</v>
      </c>
      <c r="B46" s="6" t="inlineStr">
        <is>
          <t>Lun</t>
        </is>
      </c>
      <c r="C46" s="6">
        <f>COUNTIF(Calendario!C44:H44,"")</f>
        <v/>
      </c>
      <c r="D46" s="6">
        <f>COUNTIF(Calendario!C44:H44,"TM")</f>
        <v/>
      </c>
      <c r="E46" s="6">
        <f>COUNTIF(Calendario!C44:H44,"TT")</f>
        <v/>
      </c>
      <c r="F46" s="6">
        <f>COUNTIF(Calendario!C44:H44,"TN")</f>
        <v/>
      </c>
      <c r="G46" s="6">
        <f>COUNTIF(Calendario!C44:H44,"FV")</f>
        <v/>
      </c>
      <c r="H46" s="6">
        <f>COUNTIF(Calendario!C44:H44,"FN")</f>
        <v/>
      </c>
      <c r="I46" s="6">
        <f>D46+E46+F46</f>
        <v/>
      </c>
      <c r="J46" s="6">
        <f>IF(C46&gt;=6,"SI","")</f>
        <v/>
      </c>
      <c r="K46" s="6">
        <f>IF(C46&gt;=5,"SI","")</f>
        <v/>
      </c>
      <c r="L46" s="6">
        <f>IF(C46&gt;=4,"SI","")</f>
        <v/>
      </c>
      <c r="M46" s="6">
        <f>IF(C46&gt;=3,"SI","")</f>
        <v/>
      </c>
      <c r="N46" s="6">
        <f>IF(H46=6,"SI","")</f>
        <v/>
      </c>
      <c r="O46" s="34">
        <f>C46/6</f>
        <v/>
      </c>
    </row>
    <row r="47">
      <c r="A47" s="35" t="n">
        <v>46245</v>
      </c>
      <c r="B47" s="36" t="inlineStr">
        <is>
          <t>Mar</t>
        </is>
      </c>
      <c r="C47" s="6">
        <f>COUNTIF(Calendario!C45:H45,"")</f>
        <v/>
      </c>
      <c r="D47" s="6">
        <f>COUNTIF(Calendario!C45:H45,"TM")</f>
        <v/>
      </c>
      <c r="E47" s="6">
        <f>COUNTIF(Calendario!C45:H45,"TT")</f>
        <v/>
      </c>
      <c r="F47" s="6">
        <f>COUNTIF(Calendario!C45:H45,"TN")</f>
        <v/>
      </c>
      <c r="G47" s="6">
        <f>COUNTIF(Calendario!C45:H45,"FV")</f>
        <v/>
      </c>
      <c r="H47" s="6">
        <f>COUNTIF(Calendario!C45:H45,"FN")</f>
        <v/>
      </c>
      <c r="I47" s="6">
        <f>D47+E47+F47</f>
        <v/>
      </c>
      <c r="J47" s="6">
        <f>IF(C47&gt;=6,"SI","")</f>
        <v/>
      </c>
      <c r="K47" s="6">
        <f>IF(C47&gt;=5,"SI","")</f>
        <v/>
      </c>
      <c r="L47" s="6">
        <f>IF(C47&gt;=4,"SI","")</f>
        <v/>
      </c>
      <c r="M47" s="6">
        <f>IF(C47&gt;=3,"SI","")</f>
        <v/>
      </c>
      <c r="N47" s="6">
        <f>IF(H47=6,"SI","")</f>
        <v/>
      </c>
      <c r="O47" s="34">
        <f>C47/6</f>
        <v/>
      </c>
    </row>
    <row r="48">
      <c r="A48" s="33" t="n">
        <v>46246</v>
      </c>
      <c r="B48" s="6" t="inlineStr">
        <is>
          <t>Mie</t>
        </is>
      </c>
      <c r="C48" s="6">
        <f>COUNTIF(Calendario!C46:H46,"")</f>
        <v/>
      </c>
      <c r="D48" s="6">
        <f>COUNTIF(Calendario!C46:H46,"TM")</f>
        <v/>
      </c>
      <c r="E48" s="6">
        <f>COUNTIF(Calendario!C46:H46,"TT")</f>
        <v/>
      </c>
      <c r="F48" s="6">
        <f>COUNTIF(Calendario!C46:H46,"TN")</f>
        <v/>
      </c>
      <c r="G48" s="6">
        <f>COUNTIF(Calendario!C46:H46,"FV")</f>
        <v/>
      </c>
      <c r="H48" s="6">
        <f>COUNTIF(Calendario!C46:H46,"FN")</f>
        <v/>
      </c>
      <c r="I48" s="6">
        <f>D48+E48+F48</f>
        <v/>
      </c>
      <c r="J48" s="6">
        <f>IF(C48&gt;=6,"SI","")</f>
        <v/>
      </c>
      <c r="K48" s="6">
        <f>IF(C48&gt;=5,"SI","")</f>
        <v/>
      </c>
      <c r="L48" s="6">
        <f>IF(C48&gt;=4,"SI","")</f>
        <v/>
      </c>
      <c r="M48" s="6">
        <f>IF(C48&gt;=3,"SI","")</f>
        <v/>
      </c>
      <c r="N48" s="6">
        <f>IF(H48=6,"SI","")</f>
        <v/>
      </c>
      <c r="O48" s="34">
        <f>C48/6</f>
        <v/>
      </c>
    </row>
    <row r="49">
      <c r="A49" s="35" t="n">
        <v>46247</v>
      </c>
      <c r="B49" s="36" t="inlineStr">
        <is>
          <t>Jue</t>
        </is>
      </c>
      <c r="C49" s="6">
        <f>COUNTIF(Calendario!C47:H47,"")</f>
        <v/>
      </c>
      <c r="D49" s="6">
        <f>COUNTIF(Calendario!C47:H47,"TM")</f>
        <v/>
      </c>
      <c r="E49" s="6">
        <f>COUNTIF(Calendario!C47:H47,"TT")</f>
        <v/>
      </c>
      <c r="F49" s="6">
        <f>COUNTIF(Calendario!C47:H47,"TN")</f>
        <v/>
      </c>
      <c r="G49" s="6">
        <f>COUNTIF(Calendario!C47:H47,"FV")</f>
        <v/>
      </c>
      <c r="H49" s="6">
        <f>COUNTIF(Calendario!C47:H47,"FN")</f>
        <v/>
      </c>
      <c r="I49" s="6">
        <f>D49+E49+F49</f>
        <v/>
      </c>
      <c r="J49" s="6">
        <f>IF(C49&gt;=6,"SI","")</f>
        <v/>
      </c>
      <c r="K49" s="6">
        <f>IF(C49&gt;=5,"SI","")</f>
        <v/>
      </c>
      <c r="L49" s="6">
        <f>IF(C49&gt;=4,"SI","")</f>
        <v/>
      </c>
      <c r="M49" s="6">
        <f>IF(C49&gt;=3,"SI","")</f>
        <v/>
      </c>
      <c r="N49" s="6">
        <f>IF(H49=6,"SI","")</f>
        <v/>
      </c>
      <c r="O49" s="34">
        <f>C49/6</f>
        <v/>
      </c>
    </row>
    <row r="50">
      <c r="A50" s="33" t="n">
        <v>46248</v>
      </c>
      <c r="B50" s="6" t="inlineStr">
        <is>
          <t>Vie</t>
        </is>
      </c>
      <c r="C50" s="6">
        <f>COUNTIF(Calendario!C48:H48,"")</f>
        <v/>
      </c>
      <c r="D50" s="6">
        <f>COUNTIF(Calendario!C48:H48,"TM")</f>
        <v/>
      </c>
      <c r="E50" s="6">
        <f>COUNTIF(Calendario!C48:H48,"TT")</f>
        <v/>
      </c>
      <c r="F50" s="6">
        <f>COUNTIF(Calendario!C48:H48,"TN")</f>
        <v/>
      </c>
      <c r="G50" s="6">
        <f>COUNTIF(Calendario!C48:H48,"FV")</f>
        <v/>
      </c>
      <c r="H50" s="6">
        <f>COUNTIF(Calendario!C48:H48,"FN")</f>
        <v/>
      </c>
      <c r="I50" s="6">
        <f>D50+E50+F50</f>
        <v/>
      </c>
      <c r="J50" s="6">
        <f>IF(C50&gt;=6,"SI","")</f>
        <v/>
      </c>
      <c r="K50" s="6">
        <f>IF(C50&gt;=5,"SI","")</f>
        <v/>
      </c>
      <c r="L50" s="6">
        <f>IF(C50&gt;=4,"SI","")</f>
        <v/>
      </c>
      <c r="M50" s="6">
        <f>IF(C50&gt;=3,"SI","")</f>
        <v/>
      </c>
      <c r="N50" s="6">
        <f>IF(H50=6,"SI","")</f>
        <v/>
      </c>
      <c r="O50" s="34">
        <f>C50/6</f>
        <v/>
      </c>
    </row>
    <row r="51">
      <c r="A51" s="7" t="n">
        <v>46249</v>
      </c>
      <c r="B51" s="8" t="inlineStr">
        <is>
          <t>Sab</t>
        </is>
      </c>
      <c r="C51" s="6">
        <f>COUNTIF(Calendario!C49:H49,"")</f>
        <v/>
      </c>
      <c r="D51" s="6">
        <f>COUNTIF(Calendario!C49:H49,"TM")</f>
        <v/>
      </c>
      <c r="E51" s="6">
        <f>COUNTIF(Calendario!C49:H49,"TT")</f>
        <v/>
      </c>
      <c r="F51" s="6">
        <f>COUNTIF(Calendario!C49:H49,"TN")</f>
        <v/>
      </c>
      <c r="G51" s="6">
        <f>COUNTIF(Calendario!C49:H49,"FV")</f>
        <v/>
      </c>
      <c r="H51" s="6">
        <f>COUNTIF(Calendario!C49:H49,"FN")</f>
        <v/>
      </c>
      <c r="I51" s="6">
        <f>D51+E51+F51</f>
        <v/>
      </c>
      <c r="J51" s="6">
        <f>IF(C51&gt;=6,"SI","")</f>
        <v/>
      </c>
      <c r="K51" s="6">
        <f>IF(C51&gt;=5,"SI","")</f>
        <v/>
      </c>
      <c r="L51" s="6">
        <f>IF(C51&gt;=4,"SI","")</f>
        <v/>
      </c>
      <c r="M51" s="6">
        <f>IF(C51&gt;=3,"SI","")</f>
        <v/>
      </c>
      <c r="N51" s="6">
        <f>IF(H51=6,"SI","")</f>
        <v/>
      </c>
      <c r="O51" s="34">
        <f>C51/6</f>
        <v/>
      </c>
    </row>
    <row r="52">
      <c r="A52" s="7" t="n">
        <v>46250</v>
      </c>
      <c r="B52" s="8" t="inlineStr">
        <is>
          <t>Dom</t>
        </is>
      </c>
      <c r="C52" s="6">
        <f>COUNTIF(Calendario!C50:H50,"")</f>
        <v/>
      </c>
      <c r="D52" s="6">
        <f>COUNTIF(Calendario!C50:H50,"TM")</f>
        <v/>
      </c>
      <c r="E52" s="6">
        <f>COUNTIF(Calendario!C50:H50,"TT")</f>
        <v/>
      </c>
      <c r="F52" s="6">
        <f>COUNTIF(Calendario!C50:H50,"TN")</f>
        <v/>
      </c>
      <c r="G52" s="6">
        <f>COUNTIF(Calendario!C50:H50,"FV")</f>
        <v/>
      </c>
      <c r="H52" s="6">
        <f>COUNTIF(Calendario!C50:H50,"FN")</f>
        <v/>
      </c>
      <c r="I52" s="6">
        <f>D52+E52+F52</f>
        <v/>
      </c>
      <c r="J52" s="6">
        <f>IF(C52&gt;=6,"SI","")</f>
        <v/>
      </c>
      <c r="K52" s="6">
        <f>IF(C52&gt;=5,"SI","")</f>
        <v/>
      </c>
      <c r="L52" s="6">
        <f>IF(C52&gt;=4,"SI","")</f>
        <v/>
      </c>
      <c r="M52" s="6">
        <f>IF(C52&gt;=3,"SI","")</f>
        <v/>
      </c>
      <c r="N52" s="6">
        <f>IF(H52=6,"SI","")</f>
        <v/>
      </c>
      <c r="O52" s="34">
        <f>C52/6</f>
        <v/>
      </c>
    </row>
    <row r="53">
      <c r="A53" s="35" t="n">
        <v>46251</v>
      </c>
      <c r="B53" s="36" t="inlineStr">
        <is>
          <t>Lun</t>
        </is>
      </c>
      <c r="C53" s="6">
        <f>COUNTIF(Calendario!C51:H51,"")</f>
        <v/>
      </c>
      <c r="D53" s="6">
        <f>COUNTIF(Calendario!C51:H51,"TM")</f>
        <v/>
      </c>
      <c r="E53" s="6">
        <f>COUNTIF(Calendario!C51:H51,"TT")</f>
        <v/>
      </c>
      <c r="F53" s="6">
        <f>COUNTIF(Calendario!C51:H51,"TN")</f>
        <v/>
      </c>
      <c r="G53" s="6">
        <f>COUNTIF(Calendario!C51:H51,"FV")</f>
        <v/>
      </c>
      <c r="H53" s="6">
        <f>COUNTIF(Calendario!C51:H51,"FN")</f>
        <v/>
      </c>
      <c r="I53" s="6">
        <f>D53+E53+F53</f>
        <v/>
      </c>
      <c r="J53" s="6">
        <f>IF(C53&gt;=6,"SI","")</f>
        <v/>
      </c>
      <c r="K53" s="6">
        <f>IF(C53&gt;=5,"SI","")</f>
        <v/>
      </c>
      <c r="L53" s="6">
        <f>IF(C53&gt;=4,"SI","")</f>
        <v/>
      </c>
      <c r="M53" s="6">
        <f>IF(C53&gt;=3,"SI","")</f>
        <v/>
      </c>
      <c r="N53" s="6">
        <f>IF(H53=6,"SI","")</f>
        <v/>
      </c>
      <c r="O53" s="34">
        <f>C53/6</f>
        <v/>
      </c>
    </row>
    <row r="54">
      <c r="A54" s="33" t="n">
        <v>46252</v>
      </c>
      <c r="B54" s="6" t="inlineStr">
        <is>
          <t>Mar</t>
        </is>
      </c>
      <c r="C54" s="6">
        <f>COUNTIF(Calendario!C52:H52,"")</f>
        <v/>
      </c>
      <c r="D54" s="6">
        <f>COUNTIF(Calendario!C52:H52,"TM")</f>
        <v/>
      </c>
      <c r="E54" s="6">
        <f>COUNTIF(Calendario!C52:H52,"TT")</f>
        <v/>
      </c>
      <c r="F54" s="6">
        <f>COUNTIF(Calendario!C52:H52,"TN")</f>
        <v/>
      </c>
      <c r="G54" s="6">
        <f>COUNTIF(Calendario!C52:H52,"FV")</f>
        <v/>
      </c>
      <c r="H54" s="6">
        <f>COUNTIF(Calendario!C52:H52,"FN")</f>
        <v/>
      </c>
      <c r="I54" s="6">
        <f>D54+E54+F54</f>
        <v/>
      </c>
      <c r="J54" s="6">
        <f>IF(C54&gt;=6,"SI","")</f>
        <v/>
      </c>
      <c r="K54" s="6">
        <f>IF(C54&gt;=5,"SI","")</f>
        <v/>
      </c>
      <c r="L54" s="6">
        <f>IF(C54&gt;=4,"SI","")</f>
        <v/>
      </c>
      <c r="M54" s="6">
        <f>IF(C54&gt;=3,"SI","")</f>
        <v/>
      </c>
      <c r="N54" s="6">
        <f>IF(H54=6,"SI","")</f>
        <v/>
      </c>
      <c r="O54" s="34">
        <f>C54/6</f>
        <v/>
      </c>
    </row>
    <row r="55">
      <c r="A55" s="35" t="n">
        <v>46253</v>
      </c>
      <c r="B55" s="36" t="inlineStr">
        <is>
          <t>Mie</t>
        </is>
      </c>
      <c r="C55" s="6">
        <f>COUNTIF(Calendario!C53:H53,"")</f>
        <v/>
      </c>
      <c r="D55" s="6">
        <f>COUNTIF(Calendario!C53:H53,"TM")</f>
        <v/>
      </c>
      <c r="E55" s="6">
        <f>COUNTIF(Calendario!C53:H53,"TT")</f>
        <v/>
      </c>
      <c r="F55" s="6">
        <f>COUNTIF(Calendario!C53:H53,"TN")</f>
        <v/>
      </c>
      <c r="G55" s="6">
        <f>COUNTIF(Calendario!C53:H53,"FV")</f>
        <v/>
      </c>
      <c r="H55" s="6">
        <f>COUNTIF(Calendario!C53:H53,"FN")</f>
        <v/>
      </c>
      <c r="I55" s="6">
        <f>D55+E55+F55</f>
        <v/>
      </c>
      <c r="J55" s="6">
        <f>IF(C55&gt;=6,"SI","")</f>
        <v/>
      </c>
      <c r="K55" s="6">
        <f>IF(C55&gt;=5,"SI","")</f>
        <v/>
      </c>
      <c r="L55" s="6">
        <f>IF(C55&gt;=4,"SI","")</f>
        <v/>
      </c>
      <c r="M55" s="6">
        <f>IF(C55&gt;=3,"SI","")</f>
        <v/>
      </c>
      <c r="N55" s="6">
        <f>IF(H55=6,"SI","")</f>
        <v/>
      </c>
      <c r="O55" s="34">
        <f>C55/6</f>
        <v/>
      </c>
    </row>
    <row r="56">
      <c r="A56" s="33" t="n">
        <v>46254</v>
      </c>
      <c r="B56" s="6" t="inlineStr">
        <is>
          <t>Jue</t>
        </is>
      </c>
      <c r="C56" s="6">
        <f>COUNTIF(Calendario!C54:H54,"")</f>
        <v/>
      </c>
      <c r="D56" s="6">
        <f>COUNTIF(Calendario!C54:H54,"TM")</f>
        <v/>
      </c>
      <c r="E56" s="6">
        <f>COUNTIF(Calendario!C54:H54,"TT")</f>
        <v/>
      </c>
      <c r="F56" s="6">
        <f>COUNTIF(Calendario!C54:H54,"TN")</f>
        <v/>
      </c>
      <c r="G56" s="6">
        <f>COUNTIF(Calendario!C54:H54,"FV")</f>
        <v/>
      </c>
      <c r="H56" s="6">
        <f>COUNTIF(Calendario!C54:H54,"FN")</f>
        <v/>
      </c>
      <c r="I56" s="6">
        <f>D56+E56+F56</f>
        <v/>
      </c>
      <c r="J56" s="6">
        <f>IF(C56&gt;=6,"SI","")</f>
        <v/>
      </c>
      <c r="K56" s="6">
        <f>IF(C56&gt;=5,"SI","")</f>
        <v/>
      </c>
      <c r="L56" s="6">
        <f>IF(C56&gt;=4,"SI","")</f>
        <v/>
      </c>
      <c r="M56" s="6">
        <f>IF(C56&gt;=3,"SI","")</f>
        <v/>
      </c>
      <c r="N56" s="6">
        <f>IF(H56=6,"SI","")</f>
        <v/>
      </c>
      <c r="O56" s="34">
        <f>C56/6</f>
        <v/>
      </c>
    </row>
    <row r="57">
      <c r="A57" s="35" t="n">
        <v>46255</v>
      </c>
      <c r="B57" s="36" t="inlineStr">
        <is>
          <t>Vie</t>
        </is>
      </c>
      <c r="C57" s="6">
        <f>COUNTIF(Calendario!C55:H55,"")</f>
        <v/>
      </c>
      <c r="D57" s="6">
        <f>COUNTIF(Calendario!C55:H55,"TM")</f>
        <v/>
      </c>
      <c r="E57" s="6">
        <f>COUNTIF(Calendario!C55:H55,"TT")</f>
        <v/>
      </c>
      <c r="F57" s="6">
        <f>COUNTIF(Calendario!C55:H55,"TN")</f>
        <v/>
      </c>
      <c r="G57" s="6">
        <f>COUNTIF(Calendario!C55:H55,"FV")</f>
        <v/>
      </c>
      <c r="H57" s="6">
        <f>COUNTIF(Calendario!C55:H55,"FN")</f>
        <v/>
      </c>
      <c r="I57" s="6">
        <f>D57+E57+F57</f>
        <v/>
      </c>
      <c r="J57" s="6">
        <f>IF(C57&gt;=6,"SI","")</f>
        <v/>
      </c>
      <c r="K57" s="6">
        <f>IF(C57&gt;=5,"SI","")</f>
        <v/>
      </c>
      <c r="L57" s="6">
        <f>IF(C57&gt;=4,"SI","")</f>
        <v/>
      </c>
      <c r="M57" s="6">
        <f>IF(C57&gt;=3,"SI","")</f>
        <v/>
      </c>
      <c r="N57" s="6">
        <f>IF(H57=6,"SI","")</f>
        <v/>
      </c>
      <c r="O57" s="34">
        <f>C57/6</f>
        <v/>
      </c>
    </row>
    <row r="58">
      <c r="A58" s="7" t="n">
        <v>46256</v>
      </c>
      <c r="B58" s="8" t="inlineStr">
        <is>
          <t>Sab</t>
        </is>
      </c>
      <c r="C58" s="6">
        <f>COUNTIF(Calendario!C56:H56,"")</f>
        <v/>
      </c>
      <c r="D58" s="6">
        <f>COUNTIF(Calendario!C56:H56,"TM")</f>
        <v/>
      </c>
      <c r="E58" s="6">
        <f>COUNTIF(Calendario!C56:H56,"TT")</f>
        <v/>
      </c>
      <c r="F58" s="6">
        <f>COUNTIF(Calendario!C56:H56,"TN")</f>
        <v/>
      </c>
      <c r="G58" s="6">
        <f>COUNTIF(Calendario!C56:H56,"FV")</f>
        <v/>
      </c>
      <c r="H58" s="6">
        <f>COUNTIF(Calendario!C56:H56,"FN")</f>
        <v/>
      </c>
      <c r="I58" s="6">
        <f>D58+E58+F58</f>
        <v/>
      </c>
      <c r="J58" s="6">
        <f>IF(C58&gt;=6,"SI","")</f>
        <v/>
      </c>
      <c r="K58" s="6">
        <f>IF(C58&gt;=5,"SI","")</f>
        <v/>
      </c>
      <c r="L58" s="6">
        <f>IF(C58&gt;=4,"SI","")</f>
        <v/>
      </c>
      <c r="M58" s="6">
        <f>IF(C58&gt;=3,"SI","")</f>
        <v/>
      </c>
      <c r="N58" s="6">
        <f>IF(H58=6,"SI","")</f>
        <v/>
      </c>
      <c r="O58" s="34">
        <f>C58/6</f>
        <v/>
      </c>
    </row>
    <row r="59">
      <c r="A59" s="7" t="n">
        <v>46257</v>
      </c>
      <c r="B59" s="8" t="inlineStr">
        <is>
          <t>Dom</t>
        </is>
      </c>
      <c r="C59" s="6">
        <f>COUNTIF(Calendario!C57:H57,"")</f>
        <v/>
      </c>
      <c r="D59" s="6">
        <f>COUNTIF(Calendario!C57:H57,"TM")</f>
        <v/>
      </c>
      <c r="E59" s="6">
        <f>COUNTIF(Calendario!C57:H57,"TT")</f>
        <v/>
      </c>
      <c r="F59" s="6">
        <f>COUNTIF(Calendario!C57:H57,"TN")</f>
        <v/>
      </c>
      <c r="G59" s="6">
        <f>COUNTIF(Calendario!C57:H57,"FV")</f>
        <v/>
      </c>
      <c r="H59" s="6">
        <f>COUNTIF(Calendario!C57:H57,"FN")</f>
        <v/>
      </c>
      <c r="I59" s="6">
        <f>D59+E59+F59</f>
        <v/>
      </c>
      <c r="J59" s="6">
        <f>IF(C59&gt;=6,"SI","")</f>
        <v/>
      </c>
      <c r="K59" s="6">
        <f>IF(C59&gt;=5,"SI","")</f>
        <v/>
      </c>
      <c r="L59" s="6">
        <f>IF(C59&gt;=4,"SI","")</f>
        <v/>
      </c>
      <c r="M59" s="6">
        <f>IF(C59&gt;=3,"SI","")</f>
        <v/>
      </c>
      <c r="N59" s="6">
        <f>IF(H59=6,"SI","")</f>
        <v/>
      </c>
      <c r="O59" s="34">
        <f>C59/6</f>
        <v/>
      </c>
    </row>
    <row r="60">
      <c r="A60" s="33" t="n">
        <v>46258</v>
      </c>
      <c r="B60" s="6" t="inlineStr">
        <is>
          <t>Lun</t>
        </is>
      </c>
      <c r="C60" s="6">
        <f>COUNTIF(Calendario!C58:H58,"")</f>
        <v/>
      </c>
      <c r="D60" s="6">
        <f>COUNTIF(Calendario!C58:H58,"TM")</f>
        <v/>
      </c>
      <c r="E60" s="6">
        <f>COUNTIF(Calendario!C58:H58,"TT")</f>
        <v/>
      </c>
      <c r="F60" s="6">
        <f>COUNTIF(Calendario!C58:H58,"TN")</f>
        <v/>
      </c>
      <c r="G60" s="6">
        <f>COUNTIF(Calendario!C58:H58,"FV")</f>
        <v/>
      </c>
      <c r="H60" s="6">
        <f>COUNTIF(Calendario!C58:H58,"FN")</f>
        <v/>
      </c>
      <c r="I60" s="6">
        <f>D60+E60+F60</f>
        <v/>
      </c>
      <c r="J60" s="6">
        <f>IF(C60&gt;=6,"SI","")</f>
        <v/>
      </c>
      <c r="K60" s="6">
        <f>IF(C60&gt;=5,"SI","")</f>
        <v/>
      </c>
      <c r="L60" s="6">
        <f>IF(C60&gt;=4,"SI","")</f>
        <v/>
      </c>
      <c r="M60" s="6">
        <f>IF(C60&gt;=3,"SI","")</f>
        <v/>
      </c>
      <c r="N60" s="6">
        <f>IF(H60=6,"SI","")</f>
        <v/>
      </c>
      <c r="O60" s="34">
        <f>C60/6</f>
        <v/>
      </c>
    </row>
    <row r="61">
      <c r="A61" s="35" t="n">
        <v>46259</v>
      </c>
      <c r="B61" s="36" t="inlineStr">
        <is>
          <t>Mar</t>
        </is>
      </c>
      <c r="C61" s="6">
        <f>COUNTIF(Calendario!C59:H59,"")</f>
        <v/>
      </c>
      <c r="D61" s="6">
        <f>COUNTIF(Calendario!C59:H59,"TM")</f>
        <v/>
      </c>
      <c r="E61" s="6">
        <f>COUNTIF(Calendario!C59:H59,"TT")</f>
        <v/>
      </c>
      <c r="F61" s="6">
        <f>COUNTIF(Calendario!C59:H59,"TN")</f>
        <v/>
      </c>
      <c r="G61" s="6">
        <f>COUNTIF(Calendario!C59:H59,"FV")</f>
        <v/>
      </c>
      <c r="H61" s="6">
        <f>COUNTIF(Calendario!C59:H59,"FN")</f>
        <v/>
      </c>
      <c r="I61" s="6">
        <f>D61+E61+F61</f>
        <v/>
      </c>
      <c r="J61" s="6">
        <f>IF(C61&gt;=6,"SI","")</f>
        <v/>
      </c>
      <c r="K61" s="6">
        <f>IF(C61&gt;=5,"SI","")</f>
        <v/>
      </c>
      <c r="L61" s="6">
        <f>IF(C61&gt;=4,"SI","")</f>
        <v/>
      </c>
      <c r="M61" s="6">
        <f>IF(C61&gt;=3,"SI","")</f>
        <v/>
      </c>
      <c r="N61" s="6">
        <f>IF(H61=6,"SI","")</f>
        <v/>
      </c>
      <c r="O61" s="34">
        <f>C61/6</f>
        <v/>
      </c>
    </row>
    <row r="62">
      <c r="A62" s="33" t="n">
        <v>46260</v>
      </c>
      <c r="B62" s="6" t="inlineStr">
        <is>
          <t>Mie</t>
        </is>
      </c>
      <c r="C62" s="6">
        <f>COUNTIF(Calendario!C60:H60,"")</f>
        <v/>
      </c>
      <c r="D62" s="6">
        <f>COUNTIF(Calendario!C60:H60,"TM")</f>
        <v/>
      </c>
      <c r="E62" s="6">
        <f>COUNTIF(Calendario!C60:H60,"TT")</f>
        <v/>
      </c>
      <c r="F62" s="6">
        <f>COUNTIF(Calendario!C60:H60,"TN")</f>
        <v/>
      </c>
      <c r="G62" s="6">
        <f>COUNTIF(Calendario!C60:H60,"FV")</f>
        <v/>
      </c>
      <c r="H62" s="6">
        <f>COUNTIF(Calendario!C60:H60,"FN")</f>
        <v/>
      </c>
      <c r="I62" s="6">
        <f>D62+E62+F62</f>
        <v/>
      </c>
      <c r="J62" s="6">
        <f>IF(C62&gt;=6,"SI","")</f>
        <v/>
      </c>
      <c r="K62" s="6">
        <f>IF(C62&gt;=5,"SI","")</f>
        <v/>
      </c>
      <c r="L62" s="6">
        <f>IF(C62&gt;=4,"SI","")</f>
        <v/>
      </c>
      <c r="M62" s="6">
        <f>IF(C62&gt;=3,"SI","")</f>
        <v/>
      </c>
      <c r="N62" s="6">
        <f>IF(H62=6,"SI","")</f>
        <v/>
      </c>
      <c r="O62" s="34">
        <f>C62/6</f>
        <v/>
      </c>
    </row>
    <row r="63">
      <c r="A63" s="35" t="n">
        <v>46261</v>
      </c>
      <c r="B63" s="36" t="inlineStr">
        <is>
          <t>Jue</t>
        </is>
      </c>
      <c r="C63" s="6">
        <f>COUNTIF(Calendario!C61:H61,"")</f>
        <v/>
      </c>
      <c r="D63" s="6">
        <f>COUNTIF(Calendario!C61:H61,"TM")</f>
        <v/>
      </c>
      <c r="E63" s="6">
        <f>COUNTIF(Calendario!C61:H61,"TT")</f>
        <v/>
      </c>
      <c r="F63" s="6">
        <f>COUNTIF(Calendario!C61:H61,"TN")</f>
        <v/>
      </c>
      <c r="G63" s="6">
        <f>COUNTIF(Calendario!C61:H61,"FV")</f>
        <v/>
      </c>
      <c r="H63" s="6">
        <f>COUNTIF(Calendario!C61:H61,"FN")</f>
        <v/>
      </c>
      <c r="I63" s="6">
        <f>D63+E63+F63</f>
        <v/>
      </c>
      <c r="J63" s="6">
        <f>IF(C63&gt;=6,"SI","")</f>
        <v/>
      </c>
      <c r="K63" s="6">
        <f>IF(C63&gt;=5,"SI","")</f>
        <v/>
      </c>
      <c r="L63" s="6">
        <f>IF(C63&gt;=4,"SI","")</f>
        <v/>
      </c>
      <c r="M63" s="6">
        <f>IF(C63&gt;=3,"SI","")</f>
        <v/>
      </c>
      <c r="N63" s="6">
        <f>IF(H63=6,"SI","")</f>
        <v/>
      </c>
      <c r="O63" s="34">
        <f>C63/6</f>
        <v/>
      </c>
    </row>
    <row r="64">
      <c r="A64" s="33" t="n">
        <v>46262</v>
      </c>
      <c r="B64" s="6" t="inlineStr">
        <is>
          <t>Vie</t>
        </is>
      </c>
      <c r="C64" s="6">
        <f>COUNTIF(Calendario!C62:H62,"")</f>
        <v/>
      </c>
      <c r="D64" s="6">
        <f>COUNTIF(Calendario!C62:H62,"TM")</f>
        <v/>
      </c>
      <c r="E64" s="6">
        <f>COUNTIF(Calendario!C62:H62,"TT")</f>
        <v/>
      </c>
      <c r="F64" s="6">
        <f>COUNTIF(Calendario!C62:H62,"TN")</f>
        <v/>
      </c>
      <c r="G64" s="6">
        <f>COUNTIF(Calendario!C62:H62,"FV")</f>
        <v/>
      </c>
      <c r="H64" s="6">
        <f>COUNTIF(Calendario!C62:H62,"FN")</f>
        <v/>
      </c>
      <c r="I64" s="6">
        <f>D64+E64+F64</f>
        <v/>
      </c>
      <c r="J64" s="6">
        <f>IF(C64&gt;=6,"SI","")</f>
        <v/>
      </c>
      <c r="K64" s="6">
        <f>IF(C64&gt;=5,"SI","")</f>
        <v/>
      </c>
      <c r="L64" s="6">
        <f>IF(C64&gt;=4,"SI","")</f>
        <v/>
      </c>
      <c r="M64" s="6">
        <f>IF(C64&gt;=3,"SI","")</f>
        <v/>
      </c>
      <c r="N64" s="6">
        <f>IF(H64=6,"SI","")</f>
        <v/>
      </c>
      <c r="O64" s="34">
        <f>C64/6</f>
        <v/>
      </c>
    </row>
    <row r="65">
      <c r="A65" s="7" t="n">
        <v>46263</v>
      </c>
      <c r="B65" s="8" t="inlineStr">
        <is>
          <t>Sab</t>
        </is>
      </c>
      <c r="C65" s="6">
        <f>COUNTIF(Calendario!C63:H63,"")</f>
        <v/>
      </c>
      <c r="D65" s="6">
        <f>COUNTIF(Calendario!C63:H63,"TM")</f>
        <v/>
      </c>
      <c r="E65" s="6">
        <f>COUNTIF(Calendario!C63:H63,"TT")</f>
        <v/>
      </c>
      <c r="F65" s="6">
        <f>COUNTIF(Calendario!C63:H63,"TN")</f>
        <v/>
      </c>
      <c r="G65" s="6">
        <f>COUNTIF(Calendario!C63:H63,"FV")</f>
        <v/>
      </c>
      <c r="H65" s="6">
        <f>COUNTIF(Calendario!C63:H63,"FN")</f>
        <v/>
      </c>
      <c r="I65" s="6">
        <f>D65+E65+F65</f>
        <v/>
      </c>
      <c r="J65" s="6">
        <f>IF(C65&gt;=6,"SI","")</f>
        <v/>
      </c>
      <c r="K65" s="6">
        <f>IF(C65&gt;=5,"SI","")</f>
        <v/>
      </c>
      <c r="L65" s="6">
        <f>IF(C65&gt;=4,"SI","")</f>
        <v/>
      </c>
      <c r="M65" s="6">
        <f>IF(C65&gt;=3,"SI","")</f>
        <v/>
      </c>
      <c r="N65" s="6">
        <f>IF(H65=6,"SI","")</f>
        <v/>
      </c>
      <c r="O65" s="34">
        <f>C65/6</f>
        <v/>
      </c>
    </row>
    <row r="66">
      <c r="A66" s="7" t="n">
        <v>46264</v>
      </c>
      <c r="B66" s="8" t="inlineStr">
        <is>
          <t>Dom</t>
        </is>
      </c>
      <c r="C66" s="6">
        <f>COUNTIF(Calendario!C64:H64,"")</f>
        <v/>
      </c>
      <c r="D66" s="6">
        <f>COUNTIF(Calendario!C64:H64,"TM")</f>
        <v/>
      </c>
      <c r="E66" s="6">
        <f>COUNTIF(Calendario!C64:H64,"TT")</f>
        <v/>
      </c>
      <c r="F66" s="6">
        <f>COUNTIF(Calendario!C64:H64,"TN")</f>
        <v/>
      </c>
      <c r="G66" s="6">
        <f>COUNTIF(Calendario!C64:H64,"FV")</f>
        <v/>
      </c>
      <c r="H66" s="6">
        <f>COUNTIF(Calendario!C64:H64,"FN")</f>
        <v/>
      </c>
      <c r="I66" s="6">
        <f>D66+E66+F66</f>
        <v/>
      </c>
      <c r="J66" s="6">
        <f>IF(C66&gt;=6,"SI","")</f>
        <v/>
      </c>
      <c r="K66" s="6">
        <f>IF(C66&gt;=5,"SI","")</f>
        <v/>
      </c>
      <c r="L66" s="6">
        <f>IF(C66&gt;=4,"SI","")</f>
        <v/>
      </c>
      <c r="M66" s="6">
        <f>IF(C66&gt;=3,"SI","")</f>
        <v/>
      </c>
      <c r="N66" s="6">
        <f>IF(H66=6,"SI","")</f>
        <v/>
      </c>
      <c r="O66" s="34">
        <f>C66/6</f>
        <v/>
      </c>
    </row>
    <row r="67">
      <c r="A67" s="35" t="n">
        <v>46265</v>
      </c>
      <c r="B67" s="36" t="inlineStr">
        <is>
          <t>Lun</t>
        </is>
      </c>
      <c r="C67" s="6">
        <f>COUNTIF(Calendario!C65:H65,"")</f>
        <v/>
      </c>
      <c r="D67" s="6">
        <f>COUNTIF(Calendario!C65:H65,"TM")</f>
        <v/>
      </c>
      <c r="E67" s="6">
        <f>COUNTIF(Calendario!C65:H65,"TT")</f>
        <v/>
      </c>
      <c r="F67" s="6">
        <f>COUNTIF(Calendario!C65:H65,"TN")</f>
        <v/>
      </c>
      <c r="G67" s="6">
        <f>COUNTIF(Calendario!C65:H65,"FV")</f>
        <v/>
      </c>
      <c r="H67" s="6">
        <f>COUNTIF(Calendario!C65:H65,"FN")</f>
        <v/>
      </c>
      <c r="I67" s="6">
        <f>D67+E67+F67</f>
        <v/>
      </c>
      <c r="J67" s="6">
        <f>IF(C67&gt;=6,"SI","")</f>
        <v/>
      </c>
      <c r="K67" s="6">
        <f>IF(C67&gt;=5,"SI","")</f>
        <v/>
      </c>
      <c r="L67" s="6">
        <f>IF(C67&gt;=4,"SI","")</f>
        <v/>
      </c>
      <c r="M67" s="6">
        <f>IF(C67&gt;=3,"SI","")</f>
        <v/>
      </c>
      <c r="N67" s="6">
        <f>IF(H67=6,"SI","")</f>
        <v/>
      </c>
      <c r="O67" s="34">
        <f>C67/6</f>
        <v/>
      </c>
    </row>
    <row r="68" ht="30" customHeight="1">
      <c r="A68" s="37" t="inlineStr">
        <is>
          <t xml:space="preserve">  TOTALES</t>
        </is>
      </c>
      <c r="B68" s="3" t="n"/>
      <c r="C68" s="38">
        <f>SUM(C6:C67)</f>
        <v/>
      </c>
      <c r="D68" s="38">
        <f>SUM(D6:D67)</f>
        <v/>
      </c>
      <c r="E68" s="38">
        <f>SUM(E6:E67)</f>
        <v/>
      </c>
      <c r="F68" s="38">
        <f>SUM(F6:F67)</f>
        <v/>
      </c>
      <c r="G68" s="38">
        <f>SUM(G6:G67)</f>
        <v/>
      </c>
      <c r="H68" s="38">
        <f>SUM(H6:H67)</f>
        <v/>
      </c>
      <c r="I68" s="38">
        <f>SUM(I6:I67)</f>
        <v/>
      </c>
      <c r="J68" s="38">
        <f>SUM(J6:J67)</f>
        <v/>
      </c>
      <c r="K68" s="38">
        <f>SUM(K6:K67)</f>
        <v/>
      </c>
      <c r="L68" s="38">
        <f>SUM(L6:L67)</f>
        <v/>
      </c>
      <c r="M68" s="38">
        <f>SUM(M6:M67)</f>
        <v/>
      </c>
      <c r="N68" s="38">
        <f>SUM(N6:N67)</f>
        <v/>
      </c>
      <c r="O68" s="39">
        <f>AVERAGE(O6:O67)</f>
        <v/>
      </c>
    </row>
  </sheetData>
  <mergeCells count="3">
    <mergeCell ref="J5:M5"/>
    <mergeCell ref="A68:B68"/>
    <mergeCell ref="A1:N1"/>
  </mergeCells>
  <conditionalFormatting sqref="J6:J67">
    <cfRule type="cellIs" priority="1" operator="equal" dxfId="9">
      <formula>"SI"</formula>
    </cfRule>
  </conditionalFormatting>
  <conditionalFormatting sqref="K6:K67">
    <cfRule type="cellIs" priority="2" operator="equal" dxfId="10">
      <formula>"SI"</formula>
    </cfRule>
  </conditionalFormatting>
  <conditionalFormatting sqref="L6:L67">
    <cfRule type="cellIs" priority="3" operator="equal" dxfId="11">
      <formula>"SI"</formula>
    </cfRule>
  </conditionalFormatting>
  <conditionalFormatting sqref="M6:M67">
    <cfRule type="cellIs" priority="4" operator="equal" dxfId="12">
      <formula>"SI"</formula>
    </cfRule>
  </conditionalFormatting>
  <conditionalFormatting sqref="N6:N67">
    <cfRule type="cellIs" priority="5" operator="equal" dxfId="13">
      <formula>"SI"</formula>
    </cfRule>
  </conditionalFormatting>
  <conditionalFormatting sqref="O6:O67">
    <cfRule type="colorScale" priority="6">
      <colorScale>
        <cfvo type="min"/>
        <cfvo type="percentile" val="50"/>
        <cfvo type="max"/>
        <color rgb="00E74C3C"/>
        <color rgb="00F8C471"/>
        <color rgb="0027AE60"/>
      </colorScale>
    </cfRule>
  </conditionalFormatting>
  <conditionalFormatting sqref="A6:B67">
    <cfRule type="expression" priority="7" dxfId="14">
      <formula>OR(B6="Sab",B6="Dom")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E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55" customWidth="1" min="4" max="4"/>
    <col width="55" customWidth="1" min="5" max="5"/>
  </cols>
  <sheetData>
    <row r="1" ht="32" customHeight="1">
      <c r="A1" s="40" t="inlineStr">
        <is>
          <t xml:space="preserve">  JULIO 2026  —  Quien puede cada dia</t>
        </is>
      </c>
      <c r="B1" s="15" t="n"/>
      <c r="C1" s="15" t="n"/>
      <c r="D1" s="15" t="n"/>
      <c r="E1" s="16" t="n"/>
    </row>
    <row r="2" ht="22" customHeight="1">
      <c r="A2" s="6" t="n">
        <v>1</v>
      </c>
      <c r="B2" s="33" t="n">
        <v>46204</v>
      </c>
      <c r="C2" s="6" t="inlineStr">
        <is>
          <t>Mie</t>
        </is>
      </c>
      <c r="D2" s="41">
        <f>TEXTJOIN(", ";TRUE,IF(Calendario!C3="","SUSANNA",""), IF(Calendario!D3="","ZUA",""), IF(Calendario!E3="","PEPE",""), IF(Calendario!F3="","ANTO",""), IF(Calendario!G3="","ELIAS",""), IF(Calendario!H3="","CRIS",""))</f>
        <v/>
      </c>
      <c r="E2" s="41">
        <f>TEXTJOIN(", ";TRUE,IF(Calendario!C3&lt;&gt;"","SUSANNA("&amp;Calendario!C3&amp;")",""), IF(Calendario!D3&lt;&gt;"","ZUA("&amp;Calendario!D3&amp;")",""), IF(Calendario!E3&lt;&gt;"","PEPE("&amp;Calendario!E3&amp;")",""), IF(Calendario!F3&lt;&gt;"","ANTO("&amp;Calendario!F3&amp;")",""), IF(Calendario!G3&lt;&gt;"","ELIAS("&amp;Calendario!G3&amp;")",""), IF(Calendario!H3&lt;&gt;"","CRIS("&amp;Calendario!H3&amp;")",""))</f>
        <v/>
      </c>
    </row>
    <row r="3" ht="22" customHeight="1">
      <c r="A3" s="6" t="n">
        <v>2</v>
      </c>
      <c r="B3" s="33" t="n">
        <v>46205</v>
      </c>
      <c r="C3" s="6" t="inlineStr">
        <is>
          <t>Jue</t>
        </is>
      </c>
      <c r="D3" s="41">
        <f>TEXTJOIN(", ";TRUE,IF(Calendario!C4="","SUSANNA",""), IF(Calendario!D4="","ZUA",""), IF(Calendario!E4="","PEPE",""), IF(Calendario!F4="","ANTO",""), IF(Calendario!G4="","ELIAS",""), IF(Calendario!H4="","CRIS",""))</f>
        <v/>
      </c>
      <c r="E3" s="41">
        <f>TEXTJOIN(", ";TRUE,IF(Calendario!C4&lt;&gt;"","SUSANNA("&amp;Calendario!C4&amp;")",""), IF(Calendario!D4&lt;&gt;"","ZUA("&amp;Calendario!D4&amp;")",""), IF(Calendario!E4&lt;&gt;"","PEPE("&amp;Calendario!E4&amp;")",""), IF(Calendario!F4&lt;&gt;"","ANTO("&amp;Calendario!F4&amp;")",""), IF(Calendario!G4&lt;&gt;"","ELIAS("&amp;Calendario!G4&amp;")",""), IF(Calendario!H4&lt;&gt;"","CRIS("&amp;Calendario!H4&amp;")",""))</f>
        <v/>
      </c>
    </row>
    <row r="4" ht="22" customHeight="1">
      <c r="A4" s="6" t="n">
        <v>3</v>
      </c>
      <c r="B4" s="33" t="n">
        <v>46206</v>
      </c>
      <c r="C4" s="6" t="inlineStr">
        <is>
          <t>Vie</t>
        </is>
      </c>
      <c r="D4" s="41">
        <f>TEXTJOIN(", ";TRUE,IF(Calendario!C5="","SUSANNA",""), IF(Calendario!D5="","ZUA",""), IF(Calendario!E5="","PEPE",""), IF(Calendario!F5="","ANTO",""), IF(Calendario!G5="","ELIAS",""), IF(Calendario!H5="","CRIS",""))</f>
        <v/>
      </c>
      <c r="E4" s="41">
        <f>TEXTJOIN(", ";TRUE,IF(Calendario!C5&lt;&gt;"","SUSANNA("&amp;Calendario!C5&amp;")",""), IF(Calendario!D5&lt;&gt;"","ZUA("&amp;Calendario!D5&amp;")",""), IF(Calendario!E5&lt;&gt;"","PEPE("&amp;Calendario!E5&amp;")",""), IF(Calendario!F5&lt;&gt;"","ANTO("&amp;Calendario!F5&amp;")",""), IF(Calendario!G5&lt;&gt;"","ELIAS("&amp;Calendario!G5&amp;")",""), IF(Calendario!H5&lt;&gt;"","CRIS("&amp;Calendario!H5&amp;")",""))</f>
        <v/>
      </c>
    </row>
    <row r="5" ht="22" customHeight="1">
      <c r="A5" s="8" t="n">
        <v>4</v>
      </c>
      <c r="B5" s="7" t="n">
        <v>46207</v>
      </c>
      <c r="C5" s="8" t="inlineStr">
        <is>
          <t>Sab</t>
        </is>
      </c>
      <c r="D5" s="42">
        <f>TEXTJOIN(", ";TRUE,IF(Calendario!C6="","SUSANNA",""), IF(Calendario!D6="","ZUA",""), IF(Calendario!E6="","PEPE",""), IF(Calendario!F6="","ANTO",""), IF(Calendario!G6="","ELIAS",""), IF(Calendario!H6="","CRIS",""))</f>
        <v/>
      </c>
      <c r="E5" s="42">
        <f>TEXTJOIN(", ";TRUE,IF(Calendario!C6&lt;&gt;"","SUSANNA("&amp;Calendario!C6&amp;")",""), IF(Calendario!D6&lt;&gt;"","ZUA("&amp;Calendario!D6&amp;")",""), IF(Calendario!E6&lt;&gt;"","PEPE("&amp;Calendario!E6&amp;")",""), IF(Calendario!F6&lt;&gt;"","ANTO("&amp;Calendario!F6&amp;")",""), IF(Calendario!G6&lt;&gt;"","ELIAS("&amp;Calendario!G6&amp;")",""), IF(Calendario!H6&lt;&gt;"","CRIS("&amp;Calendario!H6&amp;")",""))</f>
        <v/>
      </c>
    </row>
    <row r="6" ht="22" customHeight="1">
      <c r="A6" s="8" t="n">
        <v>5</v>
      </c>
      <c r="B6" s="7" t="n">
        <v>46208</v>
      </c>
      <c r="C6" s="8" t="inlineStr">
        <is>
          <t>Dom</t>
        </is>
      </c>
      <c r="D6" s="42">
        <f>TEXTJOIN(", ";TRUE,IF(Calendario!C7="","SUSANNA",""), IF(Calendario!D7="","ZUA",""), IF(Calendario!E7="","PEPE",""), IF(Calendario!F7="","ANTO",""), IF(Calendario!G7="","ELIAS",""), IF(Calendario!H7="","CRIS",""))</f>
        <v/>
      </c>
      <c r="E6" s="42">
        <f>TEXTJOIN(", ";TRUE,IF(Calendario!C7&lt;&gt;"","SUSANNA("&amp;Calendario!C7&amp;")",""), IF(Calendario!D7&lt;&gt;"","ZUA("&amp;Calendario!D7&amp;")",""), IF(Calendario!E7&lt;&gt;"","PEPE("&amp;Calendario!E7&amp;")",""), IF(Calendario!F7&lt;&gt;"","ANTO("&amp;Calendario!F7&amp;")",""), IF(Calendario!G7&lt;&gt;"","ELIAS("&amp;Calendario!G7&amp;")",""), IF(Calendario!H7&lt;&gt;"","CRIS("&amp;Calendario!H7&amp;")",""))</f>
        <v/>
      </c>
    </row>
    <row r="7" ht="22" customHeight="1">
      <c r="A7" s="6" t="n">
        <v>6</v>
      </c>
      <c r="B7" s="33" t="n">
        <v>46209</v>
      </c>
      <c r="C7" s="6" t="inlineStr">
        <is>
          <t>Lun</t>
        </is>
      </c>
      <c r="D7" s="41">
        <f>TEXTJOIN(", ";TRUE,IF(Calendario!C8="","SUSANNA",""), IF(Calendario!D8="","ZUA",""), IF(Calendario!E8="","PEPE",""), IF(Calendario!F8="","ANTO",""), IF(Calendario!G8="","ELIAS",""), IF(Calendario!H8="","CRIS",""))</f>
        <v/>
      </c>
      <c r="E7" s="41">
        <f>TEXTJOIN(", ";TRUE,IF(Calendario!C8&lt;&gt;"","SUSANNA("&amp;Calendario!C8&amp;")",""), IF(Calendario!D8&lt;&gt;"","ZUA("&amp;Calendario!D8&amp;")",""), IF(Calendario!E8&lt;&gt;"","PEPE("&amp;Calendario!E8&amp;")",""), IF(Calendario!F8&lt;&gt;"","ANTO("&amp;Calendario!F8&amp;")",""), IF(Calendario!G8&lt;&gt;"","ELIAS("&amp;Calendario!G8&amp;")",""), IF(Calendario!H8&lt;&gt;"","CRIS("&amp;Calendario!H8&amp;")",""))</f>
        <v/>
      </c>
    </row>
    <row r="8" ht="22" customHeight="1">
      <c r="A8" s="6" t="n">
        <v>7</v>
      </c>
      <c r="B8" s="33" t="n">
        <v>46210</v>
      </c>
      <c r="C8" s="6" t="inlineStr">
        <is>
          <t>Mar</t>
        </is>
      </c>
      <c r="D8" s="41">
        <f>TEXTJOIN(", ";TRUE,IF(Calendario!C9="","SUSANNA",""), IF(Calendario!D9="","ZUA",""), IF(Calendario!E9="","PEPE",""), IF(Calendario!F9="","ANTO",""), IF(Calendario!G9="","ELIAS",""), IF(Calendario!H9="","CRIS",""))</f>
        <v/>
      </c>
      <c r="E8" s="41">
        <f>TEXTJOIN(", ";TRUE,IF(Calendario!C9&lt;&gt;"","SUSANNA("&amp;Calendario!C9&amp;")",""), IF(Calendario!D9&lt;&gt;"","ZUA("&amp;Calendario!D9&amp;")",""), IF(Calendario!E9&lt;&gt;"","PEPE("&amp;Calendario!E9&amp;")",""), IF(Calendario!F9&lt;&gt;"","ANTO("&amp;Calendario!F9&amp;")",""), IF(Calendario!G9&lt;&gt;"","ELIAS("&amp;Calendario!G9&amp;")",""), IF(Calendario!H9&lt;&gt;"","CRIS("&amp;Calendario!H9&amp;")",""))</f>
        <v/>
      </c>
    </row>
    <row r="9" ht="22" customHeight="1">
      <c r="A9" s="6" t="n">
        <v>8</v>
      </c>
      <c r="B9" s="33" t="n">
        <v>46211</v>
      </c>
      <c r="C9" s="6" t="inlineStr">
        <is>
          <t>Mie</t>
        </is>
      </c>
      <c r="D9" s="41">
        <f>TEXTJOIN(", ";TRUE,IF(Calendario!C10="","SUSANNA",""), IF(Calendario!D10="","ZUA",""), IF(Calendario!E10="","PEPE",""), IF(Calendario!F10="","ANTO",""), IF(Calendario!G10="","ELIAS",""), IF(Calendario!H10="","CRIS",""))</f>
        <v/>
      </c>
      <c r="E9" s="41">
        <f>TEXTJOIN(", ";TRUE,IF(Calendario!C10&lt;&gt;"","SUSANNA("&amp;Calendario!C10&amp;")",""), IF(Calendario!D10&lt;&gt;"","ZUA("&amp;Calendario!D10&amp;")",""), IF(Calendario!E10&lt;&gt;"","PEPE("&amp;Calendario!E10&amp;")",""), IF(Calendario!F10&lt;&gt;"","ANTO("&amp;Calendario!F10&amp;")",""), IF(Calendario!G10&lt;&gt;"","ELIAS("&amp;Calendario!G10&amp;")",""), IF(Calendario!H10&lt;&gt;"","CRIS("&amp;Calendario!H10&amp;")",""))</f>
        <v/>
      </c>
    </row>
    <row r="10" ht="22" customHeight="1">
      <c r="A10" s="6" t="n">
        <v>9</v>
      </c>
      <c r="B10" s="33" t="n">
        <v>46212</v>
      </c>
      <c r="C10" s="6" t="inlineStr">
        <is>
          <t>Jue</t>
        </is>
      </c>
      <c r="D10" s="41">
        <f>TEXTJOIN(", ";TRUE,IF(Calendario!C11="","SUSANNA",""), IF(Calendario!D11="","ZUA",""), IF(Calendario!E11="","PEPE",""), IF(Calendario!F11="","ANTO",""), IF(Calendario!G11="","ELIAS",""), IF(Calendario!H11="","CRIS",""))</f>
        <v/>
      </c>
      <c r="E10" s="41">
        <f>TEXTJOIN(", ";TRUE,IF(Calendario!C11&lt;&gt;"","SUSANNA("&amp;Calendario!C11&amp;")",""), IF(Calendario!D11&lt;&gt;"","ZUA("&amp;Calendario!D11&amp;")",""), IF(Calendario!E11&lt;&gt;"","PEPE("&amp;Calendario!E11&amp;")",""), IF(Calendario!F11&lt;&gt;"","ANTO("&amp;Calendario!F11&amp;")",""), IF(Calendario!G11&lt;&gt;"","ELIAS("&amp;Calendario!G11&amp;")",""), IF(Calendario!H11&lt;&gt;"","CRIS("&amp;Calendario!H11&amp;")",""))</f>
        <v/>
      </c>
    </row>
    <row r="11" ht="22" customHeight="1">
      <c r="A11" s="6" t="n">
        <v>10</v>
      </c>
      <c r="B11" s="33" t="n">
        <v>46213</v>
      </c>
      <c r="C11" s="6" t="inlineStr">
        <is>
          <t>Vie</t>
        </is>
      </c>
      <c r="D11" s="41">
        <f>TEXTJOIN(", ";TRUE,IF(Calendario!C12="","SUSANNA",""), IF(Calendario!D12="","ZUA",""), IF(Calendario!E12="","PEPE",""), IF(Calendario!F12="","ANTO",""), IF(Calendario!G12="","ELIAS",""), IF(Calendario!H12="","CRIS",""))</f>
        <v/>
      </c>
      <c r="E11" s="41">
        <f>TEXTJOIN(", ";TRUE,IF(Calendario!C12&lt;&gt;"","SUSANNA("&amp;Calendario!C12&amp;")",""), IF(Calendario!D12&lt;&gt;"","ZUA("&amp;Calendario!D12&amp;")",""), IF(Calendario!E12&lt;&gt;"","PEPE("&amp;Calendario!E12&amp;")",""), IF(Calendario!F12&lt;&gt;"","ANTO("&amp;Calendario!F12&amp;")",""), IF(Calendario!G12&lt;&gt;"","ELIAS("&amp;Calendario!G12&amp;")",""), IF(Calendario!H12&lt;&gt;"","CRIS("&amp;Calendario!H12&amp;")",""))</f>
        <v/>
      </c>
    </row>
    <row r="12" ht="22" customHeight="1">
      <c r="A12" s="8" t="n">
        <v>11</v>
      </c>
      <c r="B12" s="7" t="n">
        <v>46214</v>
      </c>
      <c r="C12" s="8" t="inlineStr">
        <is>
          <t>Sab</t>
        </is>
      </c>
      <c r="D12" s="42">
        <f>TEXTJOIN(", ";TRUE,IF(Calendario!C13="","SUSANNA",""), IF(Calendario!D13="","ZUA",""), IF(Calendario!E13="","PEPE",""), IF(Calendario!F13="","ANTO",""), IF(Calendario!G13="","ELIAS",""), IF(Calendario!H13="","CRIS",""))</f>
        <v/>
      </c>
      <c r="E12" s="42">
        <f>TEXTJOIN(", ";TRUE,IF(Calendario!C13&lt;&gt;"","SUSANNA("&amp;Calendario!C13&amp;")",""), IF(Calendario!D13&lt;&gt;"","ZUA("&amp;Calendario!D13&amp;")",""), IF(Calendario!E13&lt;&gt;"","PEPE("&amp;Calendario!E13&amp;")",""), IF(Calendario!F13&lt;&gt;"","ANTO("&amp;Calendario!F13&amp;")",""), IF(Calendario!G13&lt;&gt;"","ELIAS("&amp;Calendario!G13&amp;")",""), IF(Calendario!H13&lt;&gt;"","CRIS("&amp;Calendario!H13&amp;")",""))</f>
        <v/>
      </c>
    </row>
    <row r="13" ht="22" customHeight="1">
      <c r="A13" s="8" t="n">
        <v>12</v>
      </c>
      <c r="B13" s="7" t="n">
        <v>46215</v>
      </c>
      <c r="C13" s="8" t="inlineStr">
        <is>
          <t>Dom</t>
        </is>
      </c>
      <c r="D13" s="42">
        <f>TEXTJOIN(", ";TRUE,IF(Calendario!C14="","SUSANNA",""), IF(Calendario!D14="","ZUA",""), IF(Calendario!E14="","PEPE",""), IF(Calendario!F14="","ANTO",""), IF(Calendario!G14="","ELIAS",""), IF(Calendario!H14="","CRIS",""))</f>
        <v/>
      </c>
      <c r="E13" s="42">
        <f>TEXTJOIN(", ";TRUE,IF(Calendario!C14&lt;&gt;"","SUSANNA("&amp;Calendario!C14&amp;")",""), IF(Calendario!D14&lt;&gt;"","ZUA("&amp;Calendario!D14&amp;")",""), IF(Calendario!E14&lt;&gt;"","PEPE("&amp;Calendario!E14&amp;")",""), IF(Calendario!F14&lt;&gt;"","ANTO("&amp;Calendario!F14&amp;")",""), IF(Calendario!G14&lt;&gt;"","ELIAS("&amp;Calendario!G14&amp;")",""), IF(Calendario!H14&lt;&gt;"","CRIS("&amp;Calendario!H14&amp;")",""))</f>
        <v/>
      </c>
    </row>
    <row r="14" ht="22" customHeight="1">
      <c r="A14" s="6" t="n">
        <v>13</v>
      </c>
      <c r="B14" s="33" t="n">
        <v>46216</v>
      </c>
      <c r="C14" s="6" t="inlineStr">
        <is>
          <t>Lun</t>
        </is>
      </c>
      <c r="D14" s="41">
        <f>TEXTJOIN(", ";TRUE,IF(Calendario!C15="","SUSANNA",""), IF(Calendario!D15="","ZUA",""), IF(Calendario!E15="","PEPE",""), IF(Calendario!F15="","ANTO",""), IF(Calendario!G15="","ELIAS",""), IF(Calendario!H15="","CRIS",""))</f>
        <v/>
      </c>
      <c r="E14" s="41">
        <f>TEXTJOIN(", ";TRUE,IF(Calendario!C15&lt;&gt;"","SUSANNA("&amp;Calendario!C15&amp;")",""), IF(Calendario!D15&lt;&gt;"","ZUA("&amp;Calendario!D15&amp;")",""), IF(Calendario!E15&lt;&gt;"","PEPE("&amp;Calendario!E15&amp;")",""), IF(Calendario!F15&lt;&gt;"","ANTO("&amp;Calendario!F15&amp;")",""), IF(Calendario!G15&lt;&gt;"","ELIAS("&amp;Calendario!G15&amp;")",""), IF(Calendario!H15&lt;&gt;"","CRIS("&amp;Calendario!H15&amp;")",""))</f>
        <v/>
      </c>
    </row>
    <row r="15" ht="22" customHeight="1">
      <c r="A15" s="6" t="n">
        <v>14</v>
      </c>
      <c r="B15" s="33" t="n">
        <v>46217</v>
      </c>
      <c r="C15" s="6" t="inlineStr">
        <is>
          <t>Mar</t>
        </is>
      </c>
      <c r="D15" s="41">
        <f>TEXTJOIN(", ";TRUE,IF(Calendario!C16="","SUSANNA",""), IF(Calendario!D16="","ZUA",""), IF(Calendario!E16="","PEPE",""), IF(Calendario!F16="","ANTO",""), IF(Calendario!G16="","ELIAS",""), IF(Calendario!H16="","CRIS",""))</f>
        <v/>
      </c>
      <c r="E15" s="41">
        <f>TEXTJOIN(", ";TRUE,IF(Calendario!C16&lt;&gt;"","SUSANNA("&amp;Calendario!C16&amp;")",""), IF(Calendario!D16&lt;&gt;"","ZUA("&amp;Calendario!D16&amp;")",""), IF(Calendario!E16&lt;&gt;"","PEPE("&amp;Calendario!E16&amp;")",""), IF(Calendario!F16&lt;&gt;"","ANTO("&amp;Calendario!F16&amp;")",""), IF(Calendario!G16&lt;&gt;"","ELIAS("&amp;Calendario!G16&amp;")",""), IF(Calendario!H16&lt;&gt;"","CRIS("&amp;Calendario!H16&amp;")",""))</f>
        <v/>
      </c>
    </row>
    <row r="16" ht="22" customHeight="1">
      <c r="A16" s="6" t="n">
        <v>15</v>
      </c>
      <c r="B16" s="33" t="n">
        <v>46218</v>
      </c>
      <c r="C16" s="6" t="inlineStr">
        <is>
          <t>Mie</t>
        </is>
      </c>
      <c r="D16" s="41">
        <f>TEXTJOIN(", ";TRUE,IF(Calendario!C17="","SUSANNA",""), IF(Calendario!D17="","ZUA",""), IF(Calendario!E17="","PEPE",""), IF(Calendario!F17="","ANTO",""), IF(Calendario!G17="","ELIAS",""), IF(Calendario!H17="","CRIS",""))</f>
        <v/>
      </c>
      <c r="E16" s="41">
        <f>TEXTJOIN(", ";TRUE,IF(Calendario!C17&lt;&gt;"","SUSANNA("&amp;Calendario!C17&amp;")",""), IF(Calendario!D17&lt;&gt;"","ZUA("&amp;Calendario!D17&amp;")",""), IF(Calendario!E17&lt;&gt;"","PEPE("&amp;Calendario!E17&amp;")",""), IF(Calendario!F17&lt;&gt;"","ANTO("&amp;Calendario!F17&amp;")",""), IF(Calendario!G17&lt;&gt;"","ELIAS("&amp;Calendario!G17&amp;")",""), IF(Calendario!H17&lt;&gt;"","CRIS("&amp;Calendario!H17&amp;")",""))</f>
        <v/>
      </c>
    </row>
    <row r="17" ht="22" customHeight="1">
      <c r="A17" s="6" t="n">
        <v>16</v>
      </c>
      <c r="B17" s="33" t="n">
        <v>46219</v>
      </c>
      <c r="C17" s="6" t="inlineStr">
        <is>
          <t>Jue</t>
        </is>
      </c>
      <c r="D17" s="41">
        <f>TEXTJOIN(", ";TRUE,IF(Calendario!C18="","SUSANNA",""), IF(Calendario!D18="","ZUA",""), IF(Calendario!E18="","PEPE",""), IF(Calendario!F18="","ANTO",""), IF(Calendario!G18="","ELIAS",""), IF(Calendario!H18="","CRIS",""))</f>
        <v/>
      </c>
      <c r="E17" s="41">
        <f>TEXTJOIN(", ";TRUE,IF(Calendario!C18&lt;&gt;"","SUSANNA("&amp;Calendario!C18&amp;")",""), IF(Calendario!D18&lt;&gt;"","ZUA("&amp;Calendario!D18&amp;")",""), IF(Calendario!E18&lt;&gt;"","PEPE("&amp;Calendario!E18&amp;")",""), IF(Calendario!F18&lt;&gt;"","ANTO("&amp;Calendario!F18&amp;")",""), IF(Calendario!G18&lt;&gt;"","ELIAS("&amp;Calendario!G18&amp;")",""), IF(Calendario!H18&lt;&gt;"","CRIS("&amp;Calendario!H18&amp;")",""))</f>
        <v/>
      </c>
    </row>
    <row r="18" ht="22" customHeight="1">
      <c r="A18" s="6" t="n">
        <v>17</v>
      </c>
      <c r="B18" s="33" t="n">
        <v>46220</v>
      </c>
      <c r="C18" s="6" t="inlineStr">
        <is>
          <t>Vie</t>
        </is>
      </c>
      <c r="D18" s="41">
        <f>TEXTJOIN(", ";TRUE,IF(Calendario!C19="","SUSANNA",""), IF(Calendario!D19="","ZUA",""), IF(Calendario!E19="","PEPE",""), IF(Calendario!F19="","ANTO",""), IF(Calendario!G19="","ELIAS",""), IF(Calendario!H19="","CRIS",""))</f>
        <v/>
      </c>
      <c r="E18" s="41">
        <f>TEXTJOIN(", ";TRUE,IF(Calendario!C19&lt;&gt;"","SUSANNA("&amp;Calendario!C19&amp;")",""), IF(Calendario!D19&lt;&gt;"","ZUA("&amp;Calendario!D19&amp;")",""), IF(Calendario!E19&lt;&gt;"","PEPE("&amp;Calendario!E19&amp;")",""), IF(Calendario!F19&lt;&gt;"","ANTO("&amp;Calendario!F19&amp;")",""), IF(Calendario!G19&lt;&gt;"","ELIAS("&amp;Calendario!G19&amp;")",""), IF(Calendario!H19&lt;&gt;"","CRIS("&amp;Calendario!H19&amp;")",""))</f>
        <v/>
      </c>
    </row>
    <row r="19" ht="22" customHeight="1">
      <c r="A19" s="8" t="n">
        <v>18</v>
      </c>
      <c r="B19" s="7" t="n">
        <v>46221</v>
      </c>
      <c r="C19" s="8" t="inlineStr">
        <is>
          <t>Sab</t>
        </is>
      </c>
      <c r="D19" s="42">
        <f>TEXTJOIN(", ";TRUE,IF(Calendario!C20="","SUSANNA",""), IF(Calendario!D20="","ZUA",""), IF(Calendario!E20="","PEPE",""), IF(Calendario!F20="","ANTO",""), IF(Calendario!G20="","ELIAS",""), IF(Calendario!H20="","CRIS",""))</f>
        <v/>
      </c>
      <c r="E19" s="42">
        <f>TEXTJOIN(", ";TRUE,IF(Calendario!C20&lt;&gt;"","SUSANNA("&amp;Calendario!C20&amp;")",""), IF(Calendario!D20&lt;&gt;"","ZUA("&amp;Calendario!D20&amp;")",""), IF(Calendario!E20&lt;&gt;"","PEPE("&amp;Calendario!E20&amp;")",""), IF(Calendario!F20&lt;&gt;"","ANTO("&amp;Calendario!F20&amp;")",""), IF(Calendario!G20&lt;&gt;"","ELIAS("&amp;Calendario!G20&amp;")",""), IF(Calendario!H20&lt;&gt;"","CRIS("&amp;Calendario!H20&amp;")",""))</f>
        <v/>
      </c>
    </row>
    <row r="20" ht="22" customHeight="1">
      <c r="A20" s="8" t="n">
        <v>19</v>
      </c>
      <c r="B20" s="7" t="n">
        <v>46222</v>
      </c>
      <c r="C20" s="8" t="inlineStr">
        <is>
          <t>Dom</t>
        </is>
      </c>
      <c r="D20" s="42">
        <f>TEXTJOIN(", ";TRUE,IF(Calendario!C21="","SUSANNA",""), IF(Calendario!D21="","ZUA",""), IF(Calendario!E21="","PEPE",""), IF(Calendario!F21="","ANTO",""), IF(Calendario!G21="","ELIAS",""), IF(Calendario!H21="","CRIS",""))</f>
        <v/>
      </c>
      <c r="E20" s="42">
        <f>TEXTJOIN(", ";TRUE,IF(Calendario!C21&lt;&gt;"","SUSANNA("&amp;Calendario!C21&amp;")",""), IF(Calendario!D21&lt;&gt;"","ZUA("&amp;Calendario!D21&amp;")",""), IF(Calendario!E21&lt;&gt;"","PEPE("&amp;Calendario!E21&amp;")",""), IF(Calendario!F21&lt;&gt;"","ANTO("&amp;Calendario!F21&amp;")",""), IF(Calendario!G21&lt;&gt;"","ELIAS("&amp;Calendario!G21&amp;")",""), IF(Calendario!H21&lt;&gt;"","CRIS("&amp;Calendario!H21&amp;")",""))</f>
        <v/>
      </c>
    </row>
    <row r="21" ht="22" customHeight="1">
      <c r="A21" s="6" t="n">
        <v>20</v>
      </c>
      <c r="B21" s="33" t="n">
        <v>46223</v>
      </c>
      <c r="C21" s="6" t="inlineStr">
        <is>
          <t>Lun</t>
        </is>
      </c>
      <c r="D21" s="41">
        <f>TEXTJOIN(", ";TRUE,IF(Calendario!C22="","SUSANNA",""), IF(Calendario!D22="","ZUA",""), IF(Calendario!E22="","PEPE",""), IF(Calendario!F22="","ANTO",""), IF(Calendario!G22="","ELIAS",""), IF(Calendario!H22="","CRIS",""))</f>
        <v/>
      </c>
      <c r="E21" s="41">
        <f>TEXTJOIN(", ";TRUE,IF(Calendario!C22&lt;&gt;"","SUSANNA("&amp;Calendario!C22&amp;")",""), IF(Calendario!D22&lt;&gt;"","ZUA("&amp;Calendario!D22&amp;")",""), IF(Calendario!E22&lt;&gt;"","PEPE("&amp;Calendario!E22&amp;")",""), IF(Calendario!F22&lt;&gt;"","ANTO("&amp;Calendario!F22&amp;")",""), IF(Calendario!G22&lt;&gt;"","ELIAS("&amp;Calendario!G22&amp;")",""), IF(Calendario!H22&lt;&gt;"","CRIS("&amp;Calendario!H22&amp;")",""))</f>
        <v/>
      </c>
    </row>
    <row r="22" ht="22" customHeight="1">
      <c r="A22" s="6" t="n">
        <v>21</v>
      </c>
      <c r="B22" s="33" t="n">
        <v>46224</v>
      </c>
      <c r="C22" s="6" t="inlineStr">
        <is>
          <t>Mar</t>
        </is>
      </c>
      <c r="D22" s="41">
        <f>TEXTJOIN(", ";TRUE,IF(Calendario!C23="","SUSANNA",""), IF(Calendario!D23="","ZUA",""), IF(Calendario!E23="","PEPE",""), IF(Calendario!F23="","ANTO",""), IF(Calendario!G23="","ELIAS",""), IF(Calendario!H23="","CRIS",""))</f>
        <v/>
      </c>
      <c r="E22" s="41">
        <f>TEXTJOIN(", ";TRUE,IF(Calendario!C23&lt;&gt;"","SUSANNA("&amp;Calendario!C23&amp;")",""), IF(Calendario!D23&lt;&gt;"","ZUA("&amp;Calendario!D23&amp;")",""), IF(Calendario!E23&lt;&gt;"","PEPE("&amp;Calendario!E23&amp;")",""), IF(Calendario!F23&lt;&gt;"","ANTO("&amp;Calendario!F23&amp;")",""), IF(Calendario!G23&lt;&gt;"","ELIAS("&amp;Calendario!G23&amp;")",""), IF(Calendario!H23&lt;&gt;"","CRIS("&amp;Calendario!H23&amp;")",""))</f>
        <v/>
      </c>
    </row>
    <row r="23" ht="22" customHeight="1">
      <c r="A23" s="6" t="n">
        <v>22</v>
      </c>
      <c r="B23" s="33" t="n">
        <v>46225</v>
      </c>
      <c r="C23" s="6" t="inlineStr">
        <is>
          <t>Mie</t>
        </is>
      </c>
      <c r="D23" s="41">
        <f>TEXTJOIN(", ";TRUE,IF(Calendario!C24="","SUSANNA",""), IF(Calendario!D24="","ZUA",""), IF(Calendario!E24="","PEPE",""), IF(Calendario!F24="","ANTO",""), IF(Calendario!G24="","ELIAS",""), IF(Calendario!H24="","CRIS",""))</f>
        <v/>
      </c>
      <c r="E23" s="41">
        <f>TEXTJOIN(", ";TRUE,IF(Calendario!C24&lt;&gt;"","SUSANNA("&amp;Calendario!C24&amp;")",""), IF(Calendario!D24&lt;&gt;"","ZUA("&amp;Calendario!D24&amp;")",""), IF(Calendario!E24&lt;&gt;"","PEPE("&amp;Calendario!E24&amp;")",""), IF(Calendario!F24&lt;&gt;"","ANTO("&amp;Calendario!F24&amp;")",""), IF(Calendario!G24&lt;&gt;"","ELIAS("&amp;Calendario!G24&amp;")",""), IF(Calendario!H24&lt;&gt;"","CRIS("&amp;Calendario!H24&amp;")",""))</f>
        <v/>
      </c>
    </row>
    <row r="24" ht="22" customHeight="1">
      <c r="A24" s="6" t="n">
        <v>23</v>
      </c>
      <c r="B24" s="33" t="n">
        <v>46226</v>
      </c>
      <c r="C24" s="6" t="inlineStr">
        <is>
          <t>Jue</t>
        </is>
      </c>
      <c r="D24" s="41">
        <f>TEXTJOIN(", ";TRUE,IF(Calendario!C25="","SUSANNA",""), IF(Calendario!D25="","ZUA",""), IF(Calendario!E25="","PEPE",""), IF(Calendario!F25="","ANTO",""), IF(Calendario!G25="","ELIAS",""), IF(Calendario!H25="","CRIS",""))</f>
        <v/>
      </c>
      <c r="E24" s="41">
        <f>TEXTJOIN(", ";TRUE,IF(Calendario!C25&lt;&gt;"","SUSANNA("&amp;Calendario!C25&amp;")",""), IF(Calendario!D25&lt;&gt;"","ZUA("&amp;Calendario!D25&amp;")",""), IF(Calendario!E25&lt;&gt;"","PEPE("&amp;Calendario!E25&amp;")",""), IF(Calendario!F25&lt;&gt;"","ANTO("&amp;Calendario!F25&amp;")",""), IF(Calendario!G25&lt;&gt;"","ELIAS("&amp;Calendario!G25&amp;")",""), IF(Calendario!H25&lt;&gt;"","CRIS("&amp;Calendario!H25&amp;")",""))</f>
        <v/>
      </c>
    </row>
    <row r="25" ht="22" customHeight="1">
      <c r="A25" s="6" t="n">
        <v>24</v>
      </c>
      <c r="B25" s="33" t="n">
        <v>46227</v>
      </c>
      <c r="C25" s="6" t="inlineStr">
        <is>
          <t>Vie</t>
        </is>
      </c>
      <c r="D25" s="41">
        <f>TEXTJOIN(", ";TRUE,IF(Calendario!C26="","SUSANNA",""), IF(Calendario!D26="","ZUA",""), IF(Calendario!E26="","PEPE",""), IF(Calendario!F26="","ANTO",""), IF(Calendario!G26="","ELIAS",""), IF(Calendario!H26="","CRIS",""))</f>
        <v/>
      </c>
      <c r="E25" s="41">
        <f>TEXTJOIN(", ";TRUE,IF(Calendario!C26&lt;&gt;"","SUSANNA("&amp;Calendario!C26&amp;")",""), IF(Calendario!D26&lt;&gt;"","ZUA("&amp;Calendario!D26&amp;")",""), IF(Calendario!E26&lt;&gt;"","PEPE("&amp;Calendario!E26&amp;")",""), IF(Calendario!F26&lt;&gt;"","ANTO("&amp;Calendario!F26&amp;")",""), IF(Calendario!G26&lt;&gt;"","ELIAS("&amp;Calendario!G26&amp;")",""), IF(Calendario!H26&lt;&gt;"","CRIS("&amp;Calendario!H26&amp;")",""))</f>
        <v/>
      </c>
    </row>
    <row r="26" ht="22" customHeight="1">
      <c r="A26" s="8" t="n">
        <v>25</v>
      </c>
      <c r="B26" s="7" t="n">
        <v>46228</v>
      </c>
      <c r="C26" s="8" t="inlineStr">
        <is>
          <t>Sab</t>
        </is>
      </c>
      <c r="D26" s="42">
        <f>TEXTJOIN(", ";TRUE,IF(Calendario!C27="","SUSANNA",""), IF(Calendario!D27="","ZUA",""), IF(Calendario!E27="","PEPE",""), IF(Calendario!F27="","ANTO",""), IF(Calendario!G27="","ELIAS",""), IF(Calendario!H27="","CRIS",""))</f>
        <v/>
      </c>
      <c r="E26" s="42">
        <f>TEXTJOIN(", ";TRUE,IF(Calendario!C27&lt;&gt;"","SUSANNA("&amp;Calendario!C27&amp;")",""), IF(Calendario!D27&lt;&gt;"","ZUA("&amp;Calendario!D27&amp;")",""), IF(Calendario!E27&lt;&gt;"","PEPE("&amp;Calendario!E27&amp;")",""), IF(Calendario!F27&lt;&gt;"","ANTO("&amp;Calendario!F27&amp;")",""), IF(Calendario!G27&lt;&gt;"","ELIAS("&amp;Calendario!G27&amp;")",""), IF(Calendario!H27&lt;&gt;"","CRIS("&amp;Calendario!H27&amp;")",""))</f>
        <v/>
      </c>
    </row>
    <row r="27" ht="22" customHeight="1">
      <c r="A27" s="8" t="n">
        <v>26</v>
      </c>
      <c r="B27" s="7" t="n">
        <v>46229</v>
      </c>
      <c r="C27" s="8" t="inlineStr">
        <is>
          <t>Dom</t>
        </is>
      </c>
      <c r="D27" s="42">
        <f>TEXTJOIN(", ";TRUE,IF(Calendario!C28="","SUSANNA",""), IF(Calendario!D28="","ZUA",""), IF(Calendario!E28="","PEPE",""), IF(Calendario!F28="","ANTO",""), IF(Calendario!G28="","ELIAS",""), IF(Calendario!H28="","CRIS",""))</f>
        <v/>
      </c>
      <c r="E27" s="42">
        <f>TEXTJOIN(", ";TRUE,IF(Calendario!C28&lt;&gt;"","SUSANNA("&amp;Calendario!C28&amp;")",""), IF(Calendario!D28&lt;&gt;"","ZUA("&amp;Calendario!D28&amp;")",""), IF(Calendario!E28&lt;&gt;"","PEPE("&amp;Calendario!E28&amp;")",""), IF(Calendario!F28&lt;&gt;"","ANTO("&amp;Calendario!F28&amp;")",""), IF(Calendario!G28&lt;&gt;"","ELIAS("&amp;Calendario!G28&amp;")",""), IF(Calendario!H28&lt;&gt;"","CRIS("&amp;Calendario!H28&amp;")",""))</f>
        <v/>
      </c>
    </row>
    <row r="28" ht="22" customHeight="1">
      <c r="A28" s="6" t="n">
        <v>27</v>
      </c>
      <c r="B28" s="33" t="n">
        <v>46230</v>
      </c>
      <c r="C28" s="6" t="inlineStr">
        <is>
          <t>Lun</t>
        </is>
      </c>
      <c r="D28" s="41">
        <f>TEXTJOIN(", ";TRUE,IF(Calendario!C29="","SUSANNA",""), IF(Calendario!D29="","ZUA",""), IF(Calendario!E29="","PEPE",""), IF(Calendario!F29="","ANTO",""), IF(Calendario!G29="","ELIAS",""), IF(Calendario!H29="","CRIS",""))</f>
        <v/>
      </c>
      <c r="E28" s="41">
        <f>TEXTJOIN(", ";TRUE,IF(Calendario!C29&lt;&gt;"","SUSANNA("&amp;Calendario!C29&amp;")",""), IF(Calendario!D29&lt;&gt;"","ZUA("&amp;Calendario!D29&amp;")",""), IF(Calendario!E29&lt;&gt;"","PEPE("&amp;Calendario!E29&amp;")",""), IF(Calendario!F29&lt;&gt;"","ANTO("&amp;Calendario!F29&amp;")",""), IF(Calendario!G29&lt;&gt;"","ELIAS("&amp;Calendario!G29&amp;")",""), IF(Calendario!H29&lt;&gt;"","CRIS("&amp;Calendario!H29&amp;")",""))</f>
        <v/>
      </c>
    </row>
    <row r="29" ht="22" customHeight="1">
      <c r="A29" s="6" t="n">
        <v>28</v>
      </c>
      <c r="B29" s="33" t="n">
        <v>46231</v>
      </c>
      <c r="C29" s="6" t="inlineStr">
        <is>
          <t>Mar</t>
        </is>
      </c>
      <c r="D29" s="41">
        <f>TEXTJOIN(", ";TRUE,IF(Calendario!C30="","SUSANNA",""), IF(Calendario!D30="","ZUA",""), IF(Calendario!E30="","PEPE",""), IF(Calendario!F30="","ANTO",""), IF(Calendario!G30="","ELIAS",""), IF(Calendario!H30="","CRIS",""))</f>
        <v/>
      </c>
      <c r="E29" s="41">
        <f>TEXTJOIN(", ";TRUE,IF(Calendario!C30&lt;&gt;"","SUSANNA("&amp;Calendario!C30&amp;")",""), IF(Calendario!D30&lt;&gt;"","ZUA("&amp;Calendario!D30&amp;")",""), IF(Calendario!E30&lt;&gt;"","PEPE("&amp;Calendario!E30&amp;")",""), IF(Calendario!F30&lt;&gt;"","ANTO("&amp;Calendario!F30&amp;")",""), IF(Calendario!G30&lt;&gt;"","ELIAS("&amp;Calendario!G30&amp;")",""), IF(Calendario!H30&lt;&gt;"","CRIS("&amp;Calendario!H30&amp;")",""))</f>
        <v/>
      </c>
    </row>
    <row r="30" ht="22" customHeight="1">
      <c r="A30" s="6" t="n">
        <v>29</v>
      </c>
      <c r="B30" s="33" t="n">
        <v>46232</v>
      </c>
      <c r="C30" s="6" t="inlineStr">
        <is>
          <t>Mie</t>
        </is>
      </c>
      <c r="D30" s="41">
        <f>TEXTJOIN(", ";TRUE,IF(Calendario!C31="","SUSANNA",""), IF(Calendario!D31="","ZUA",""), IF(Calendario!E31="","PEPE",""), IF(Calendario!F31="","ANTO",""), IF(Calendario!G31="","ELIAS",""), IF(Calendario!H31="","CRIS",""))</f>
        <v/>
      </c>
      <c r="E30" s="41">
        <f>TEXTJOIN(", ";TRUE,IF(Calendario!C31&lt;&gt;"","SUSANNA("&amp;Calendario!C31&amp;")",""), IF(Calendario!D31&lt;&gt;"","ZUA("&amp;Calendario!D31&amp;")",""), IF(Calendario!E31&lt;&gt;"","PEPE("&amp;Calendario!E31&amp;")",""), IF(Calendario!F31&lt;&gt;"","ANTO("&amp;Calendario!F31&amp;")",""), IF(Calendario!G31&lt;&gt;"","ELIAS("&amp;Calendario!G31&amp;")",""), IF(Calendario!H31&lt;&gt;"","CRIS("&amp;Calendario!H31&amp;")",""))</f>
        <v/>
      </c>
    </row>
    <row r="31" ht="22" customHeight="1">
      <c r="A31" s="6" t="n">
        <v>30</v>
      </c>
      <c r="B31" s="33" t="n">
        <v>46233</v>
      </c>
      <c r="C31" s="6" t="inlineStr">
        <is>
          <t>Jue</t>
        </is>
      </c>
      <c r="D31" s="41">
        <f>TEXTJOIN(", ";TRUE,IF(Calendario!C32="","SUSANNA",""), IF(Calendario!D32="","ZUA",""), IF(Calendario!E32="","PEPE",""), IF(Calendario!F32="","ANTO",""), IF(Calendario!G32="","ELIAS",""), IF(Calendario!H32="","CRIS",""))</f>
        <v/>
      </c>
      <c r="E31" s="41">
        <f>TEXTJOIN(", ";TRUE,IF(Calendario!C32&lt;&gt;"","SUSANNA("&amp;Calendario!C32&amp;")",""), IF(Calendario!D32&lt;&gt;"","ZUA("&amp;Calendario!D32&amp;")",""), IF(Calendario!E32&lt;&gt;"","PEPE("&amp;Calendario!E32&amp;")",""), IF(Calendario!F32&lt;&gt;"","ANTO("&amp;Calendario!F32&amp;")",""), IF(Calendario!G32&lt;&gt;"","ELIAS("&amp;Calendario!G32&amp;")",""), IF(Calendario!H32&lt;&gt;"","CRIS("&amp;Calendario!H32&amp;")",""))</f>
        <v/>
      </c>
    </row>
    <row r="32" ht="22" customHeight="1">
      <c r="A32" s="6" t="n">
        <v>31</v>
      </c>
      <c r="B32" s="33" t="n">
        <v>46234</v>
      </c>
      <c r="C32" s="6" t="inlineStr">
        <is>
          <t>Vie</t>
        </is>
      </c>
      <c r="D32" s="41">
        <f>TEXTJOIN(", ";TRUE,IF(Calendario!C33="","SUSANNA",""), IF(Calendario!D33="","ZUA",""), IF(Calendario!E33="","PEPE",""), IF(Calendario!F33="","ANTO",""), IF(Calendario!G33="","ELIAS",""), IF(Calendario!H33="","CRIS",""))</f>
        <v/>
      </c>
      <c r="E32" s="41">
        <f>TEXTJOIN(", ";TRUE,IF(Calendario!C33&lt;&gt;"","SUSANNA("&amp;Calendario!C33&amp;")",""), IF(Calendario!D33&lt;&gt;"","ZUA("&amp;Calendario!D33&amp;")",""), IF(Calendario!E33&lt;&gt;"","PEPE("&amp;Calendario!E33&amp;")",""), IF(Calendario!F33&lt;&gt;"","ANTO("&amp;Calendario!F33&amp;")",""), IF(Calendario!G33&lt;&gt;"","ELIAS("&amp;Calendario!G33&amp;")",""), IF(Calendario!H33&lt;&gt;"","CRIS("&amp;Calendario!H33&amp;")",""))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8449"/>
    <outlinePr summaryBelow="1" summaryRight="1"/>
    <pageSetUpPr/>
  </sheetPr>
  <dimension ref="A1:E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55" customWidth="1" min="4" max="4"/>
    <col width="55" customWidth="1" min="5" max="5"/>
  </cols>
  <sheetData>
    <row r="1" ht="32" customHeight="1">
      <c r="A1" s="43" t="inlineStr">
        <is>
          <t xml:space="preserve">  AGOSTO 2026  —  Quien puede cada dia</t>
        </is>
      </c>
      <c r="B1" s="15" t="n"/>
      <c r="C1" s="15" t="n"/>
      <c r="D1" s="15" t="n"/>
      <c r="E1" s="16" t="n"/>
    </row>
    <row r="2" ht="22" customHeight="1">
      <c r="A2" s="8" t="n">
        <v>1</v>
      </c>
      <c r="B2" s="7" t="n">
        <v>46235</v>
      </c>
      <c r="C2" s="8" t="inlineStr">
        <is>
          <t>Sab</t>
        </is>
      </c>
      <c r="D2" s="42">
        <f>TEXTJOIN(", ";TRUE,IF(Calendario!C35="","SUSANNA",""), IF(Calendario!D35="","ZUA",""), IF(Calendario!E35="","PEPE",""), IF(Calendario!F35="","ANTO",""), IF(Calendario!G35="","ELIAS",""), IF(Calendario!H35="","CRIS",""))</f>
        <v/>
      </c>
      <c r="E2" s="42">
        <f>TEXTJOIN(", ";TRUE,IF(Calendario!C35&lt;&gt;"","SUSANNA("&amp;Calendario!C35&amp;")",""), IF(Calendario!D35&lt;&gt;"","ZUA("&amp;Calendario!D35&amp;")",""), IF(Calendario!E35&lt;&gt;"","PEPE("&amp;Calendario!E35&amp;")",""), IF(Calendario!F35&lt;&gt;"","ANTO("&amp;Calendario!F35&amp;")",""), IF(Calendario!G35&lt;&gt;"","ELIAS("&amp;Calendario!G35&amp;")",""), IF(Calendario!H35&lt;&gt;"","CRIS("&amp;Calendario!H35&amp;")",""))</f>
        <v/>
      </c>
    </row>
    <row r="3" ht="22" customHeight="1">
      <c r="A3" s="8" t="n">
        <v>2</v>
      </c>
      <c r="B3" s="7" t="n">
        <v>46236</v>
      </c>
      <c r="C3" s="8" t="inlineStr">
        <is>
          <t>Dom</t>
        </is>
      </c>
      <c r="D3" s="42">
        <f>TEXTJOIN(", ";TRUE,IF(Calendario!C36="","SUSANNA",""), IF(Calendario!D36="","ZUA",""), IF(Calendario!E36="","PEPE",""), IF(Calendario!F36="","ANTO",""), IF(Calendario!G36="","ELIAS",""), IF(Calendario!H36="","CRIS",""))</f>
        <v/>
      </c>
      <c r="E3" s="42">
        <f>TEXTJOIN(", ";TRUE,IF(Calendario!C36&lt;&gt;"","SUSANNA("&amp;Calendario!C36&amp;")",""), IF(Calendario!D36&lt;&gt;"","ZUA("&amp;Calendario!D36&amp;")",""), IF(Calendario!E36&lt;&gt;"","PEPE("&amp;Calendario!E36&amp;")",""), IF(Calendario!F36&lt;&gt;"","ANTO("&amp;Calendario!F36&amp;")",""), IF(Calendario!G36&lt;&gt;"","ELIAS("&amp;Calendario!G36&amp;")",""), IF(Calendario!H36&lt;&gt;"","CRIS("&amp;Calendario!H36&amp;")",""))</f>
        <v/>
      </c>
    </row>
    <row r="4" ht="22" customHeight="1">
      <c r="A4" s="6" t="n">
        <v>3</v>
      </c>
      <c r="B4" s="33" t="n">
        <v>46237</v>
      </c>
      <c r="C4" s="6" t="inlineStr">
        <is>
          <t>Lun</t>
        </is>
      </c>
      <c r="D4" s="41">
        <f>TEXTJOIN(", ";TRUE,IF(Calendario!C37="","SUSANNA",""), IF(Calendario!D37="","ZUA",""), IF(Calendario!E37="","PEPE",""), IF(Calendario!F37="","ANTO",""), IF(Calendario!G37="","ELIAS",""), IF(Calendario!H37="","CRIS",""))</f>
        <v/>
      </c>
      <c r="E4" s="41">
        <f>TEXTJOIN(", ";TRUE,IF(Calendario!C37&lt;&gt;"","SUSANNA("&amp;Calendario!C37&amp;")",""), IF(Calendario!D37&lt;&gt;"","ZUA("&amp;Calendario!D37&amp;")",""), IF(Calendario!E37&lt;&gt;"","PEPE("&amp;Calendario!E37&amp;")",""), IF(Calendario!F37&lt;&gt;"","ANTO("&amp;Calendario!F37&amp;")",""), IF(Calendario!G37&lt;&gt;"","ELIAS("&amp;Calendario!G37&amp;")",""), IF(Calendario!H37&lt;&gt;"","CRIS("&amp;Calendario!H37&amp;")",""))</f>
        <v/>
      </c>
    </row>
    <row r="5" ht="22" customHeight="1">
      <c r="A5" s="6" t="n">
        <v>4</v>
      </c>
      <c r="B5" s="33" t="n">
        <v>46238</v>
      </c>
      <c r="C5" s="6" t="inlineStr">
        <is>
          <t>Mar</t>
        </is>
      </c>
      <c r="D5" s="41">
        <f>TEXTJOIN(", ";TRUE,IF(Calendario!C38="","SUSANNA",""), IF(Calendario!D38="","ZUA",""), IF(Calendario!E38="","PEPE",""), IF(Calendario!F38="","ANTO",""), IF(Calendario!G38="","ELIAS",""), IF(Calendario!H38="","CRIS",""))</f>
        <v/>
      </c>
      <c r="E5" s="41">
        <f>TEXTJOIN(", ";TRUE,IF(Calendario!C38&lt;&gt;"","SUSANNA("&amp;Calendario!C38&amp;")",""), IF(Calendario!D38&lt;&gt;"","ZUA("&amp;Calendario!D38&amp;")",""), IF(Calendario!E38&lt;&gt;"","PEPE("&amp;Calendario!E38&amp;")",""), IF(Calendario!F38&lt;&gt;"","ANTO("&amp;Calendario!F38&amp;")",""), IF(Calendario!G38&lt;&gt;"","ELIAS("&amp;Calendario!G38&amp;")",""), IF(Calendario!H38&lt;&gt;"","CRIS("&amp;Calendario!H38&amp;")",""))</f>
        <v/>
      </c>
    </row>
    <row r="6" ht="22" customHeight="1">
      <c r="A6" s="6" t="n">
        <v>5</v>
      </c>
      <c r="B6" s="33" t="n">
        <v>46239</v>
      </c>
      <c r="C6" s="6" t="inlineStr">
        <is>
          <t>Mie</t>
        </is>
      </c>
      <c r="D6" s="41">
        <f>TEXTJOIN(", ";TRUE,IF(Calendario!C39="","SUSANNA",""), IF(Calendario!D39="","ZUA",""), IF(Calendario!E39="","PEPE",""), IF(Calendario!F39="","ANTO",""), IF(Calendario!G39="","ELIAS",""), IF(Calendario!H39="","CRIS",""))</f>
        <v/>
      </c>
      <c r="E6" s="41">
        <f>TEXTJOIN(", ";TRUE,IF(Calendario!C39&lt;&gt;"","SUSANNA("&amp;Calendario!C39&amp;")",""), IF(Calendario!D39&lt;&gt;"","ZUA("&amp;Calendario!D39&amp;")",""), IF(Calendario!E39&lt;&gt;"","PEPE("&amp;Calendario!E39&amp;")",""), IF(Calendario!F39&lt;&gt;"","ANTO("&amp;Calendario!F39&amp;")",""), IF(Calendario!G39&lt;&gt;"","ELIAS("&amp;Calendario!G39&amp;")",""), IF(Calendario!H39&lt;&gt;"","CRIS("&amp;Calendario!H39&amp;")",""))</f>
        <v/>
      </c>
    </row>
    <row r="7" ht="22" customHeight="1">
      <c r="A7" s="6" t="n">
        <v>6</v>
      </c>
      <c r="B7" s="33" t="n">
        <v>46240</v>
      </c>
      <c r="C7" s="6" t="inlineStr">
        <is>
          <t>Jue</t>
        </is>
      </c>
      <c r="D7" s="41">
        <f>TEXTJOIN(", ";TRUE,IF(Calendario!C40="","SUSANNA",""), IF(Calendario!D40="","ZUA",""), IF(Calendario!E40="","PEPE",""), IF(Calendario!F40="","ANTO",""), IF(Calendario!G40="","ELIAS",""), IF(Calendario!H40="","CRIS",""))</f>
        <v/>
      </c>
      <c r="E7" s="41">
        <f>TEXTJOIN(", ";TRUE,IF(Calendario!C40&lt;&gt;"","SUSANNA("&amp;Calendario!C40&amp;")",""), IF(Calendario!D40&lt;&gt;"","ZUA("&amp;Calendario!D40&amp;")",""), IF(Calendario!E40&lt;&gt;"","PEPE("&amp;Calendario!E40&amp;")",""), IF(Calendario!F40&lt;&gt;"","ANTO("&amp;Calendario!F40&amp;")",""), IF(Calendario!G40&lt;&gt;"","ELIAS("&amp;Calendario!G40&amp;")",""), IF(Calendario!H40&lt;&gt;"","CRIS("&amp;Calendario!H40&amp;")",""))</f>
        <v/>
      </c>
    </row>
    <row r="8" ht="22" customHeight="1">
      <c r="A8" s="6" t="n">
        <v>7</v>
      </c>
      <c r="B8" s="33" t="n">
        <v>46241</v>
      </c>
      <c r="C8" s="6" t="inlineStr">
        <is>
          <t>Vie</t>
        </is>
      </c>
      <c r="D8" s="41">
        <f>TEXTJOIN(", ";TRUE,IF(Calendario!C41="","SUSANNA",""), IF(Calendario!D41="","ZUA",""), IF(Calendario!E41="","PEPE",""), IF(Calendario!F41="","ANTO",""), IF(Calendario!G41="","ELIAS",""), IF(Calendario!H41="","CRIS",""))</f>
        <v/>
      </c>
      <c r="E8" s="41">
        <f>TEXTJOIN(", ";TRUE,IF(Calendario!C41&lt;&gt;"","SUSANNA("&amp;Calendario!C41&amp;")",""), IF(Calendario!D41&lt;&gt;"","ZUA("&amp;Calendario!D41&amp;")",""), IF(Calendario!E41&lt;&gt;"","PEPE("&amp;Calendario!E41&amp;")",""), IF(Calendario!F41&lt;&gt;"","ANTO("&amp;Calendario!F41&amp;")",""), IF(Calendario!G41&lt;&gt;"","ELIAS("&amp;Calendario!G41&amp;")",""), IF(Calendario!H41&lt;&gt;"","CRIS("&amp;Calendario!H41&amp;")",""))</f>
        <v/>
      </c>
    </row>
    <row r="9" ht="22" customHeight="1">
      <c r="A9" s="8" t="n">
        <v>8</v>
      </c>
      <c r="B9" s="7" t="n">
        <v>46242</v>
      </c>
      <c r="C9" s="8" t="inlineStr">
        <is>
          <t>Sab</t>
        </is>
      </c>
      <c r="D9" s="42">
        <f>TEXTJOIN(", ";TRUE,IF(Calendario!C42="","SUSANNA",""), IF(Calendario!D42="","ZUA",""), IF(Calendario!E42="","PEPE",""), IF(Calendario!F42="","ANTO",""), IF(Calendario!G42="","ELIAS",""), IF(Calendario!H42="","CRIS",""))</f>
        <v/>
      </c>
      <c r="E9" s="42">
        <f>TEXTJOIN(", ";TRUE,IF(Calendario!C42&lt;&gt;"","SUSANNA("&amp;Calendario!C42&amp;")",""), IF(Calendario!D42&lt;&gt;"","ZUA("&amp;Calendario!D42&amp;")",""), IF(Calendario!E42&lt;&gt;"","PEPE("&amp;Calendario!E42&amp;")",""), IF(Calendario!F42&lt;&gt;"","ANTO("&amp;Calendario!F42&amp;")",""), IF(Calendario!G42&lt;&gt;"","ELIAS("&amp;Calendario!G42&amp;")",""), IF(Calendario!H42&lt;&gt;"","CRIS("&amp;Calendario!H42&amp;")",""))</f>
        <v/>
      </c>
    </row>
    <row r="10" ht="22" customHeight="1">
      <c r="A10" s="8" t="n">
        <v>9</v>
      </c>
      <c r="B10" s="7" t="n">
        <v>46243</v>
      </c>
      <c r="C10" s="8" t="inlineStr">
        <is>
          <t>Dom</t>
        </is>
      </c>
      <c r="D10" s="42">
        <f>TEXTJOIN(", ";TRUE,IF(Calendario!C43="","SUSANNA",""), IF(Calendario!D43="","ZUA",""), IF(Calendario!E43="","PEPE",""), IF(Calendario!F43="","ANTO",""), IF(Calendario!G43="","ELIAS",""), IF(Calendario!H43="","CRIS",""))</f>
        <v/>
      </c>
      <c r="E10" s="42">
        <f>TEXTJOIN(", ";TRUE,IF(Calendario!C43&lt;&gt;"","SUSANNA("&amp;Calendario!C43&amp;")",""), IF(Calendario!D43&lt;&gt;"","ZUA("&amp;Calendario!D43&amp;")",""), IF(Calendario!E43&lt;&gt;"","PEPE("&amp;Calendario!E43&amp;")",""), IF(Calendario!F43&lt;&gt;"","ANTO("&amp;Calendario!F43&amp;")",""), IF(Calendario!G43&lt;&gt;"","ELIAS("&amp;Calendario!G43&amp;")",""), IF(Calendario!H43&lt;&gt;"","CRIS("&amp;Calendario!H43&amp;")",""))</f>
        <v/>
      </c>
    </row>
    <row r="11" ht="22" customHeight="1">
      <c r="A11" s="6" t="n">
        <v>10</v>
      </c>
      <c r="B11" s="33" t="n">
        <v>46244</v>
      </c>
      <c r="C11" s="6" t="inlineStr">
        <is>
          <t>Lun</t>
        </is>
      </c>
      <c r="D11" s="41">
        <f>TEXTJOIN(", ";TRUE,IF(Calendario!C44="","SUSANNA",""), IF(Calendario!D44="","ZUA",""), IF(Calendario!E44="","PEPE",""), IF(Calendario!F44="","ANTO",""), IF(Calendario!G44="","ELIAS",""), IF(Calendario!H44="","CRIS",""))</f>
        <v/>
      </c>
      <c r="E11" s="41">
        <f>TEXTJOIN(", ";TRUE,IF(Calendario!C44&lt;&gt;"","SUSANNA("&amp;Calendario!C44&amp;")",""), IF(Calendario!D44&lt;&gt;"","ZUA("&amp;Calendario!D44&amp;")",""), IF(Calendario!E44&lt;&gt;"","PEPE("&amp;Calendario!E44&amp;")",""), IF(Calendario!F44&lt;&gt;"","ANTO("&amp;Calendario!F44&amp;")",""), IF(Calendario!G44&lt;&gt;"","ELIAS("&amp;Calendario!G44&amp;")",""), IF(Calendario!H44&lt;&gt;"","CRIS("&amp;Calendario!H44&amp;")",""))</f>
        <v/>
      </c>
    </row>
    <row r="12" ht="22" customHeight="1">
      <c r="A12" s="6" t="n">
        <v>11</v>
      </c>
      <c r="B12" s="33" t="n">
        <v>46245</v>
      </c>
      <c r="C12" s="6" t="inlineStr">
        <is>
          <t>Mar</t>
        </is>
      </c>
      <c r="D12" s="41">
        <f>TEXTJOIN(", ";TRUE,IF(Calendario!C45="","SUSANNA",""), IF(Calendario!D45="","ZUA",""), IF(Calendario!E45="","PEPE",""), IF(Calendario!F45="","ANTO",""), IF(Calendario!G45="","ELIAS",""), IF(Calendario!H45="","CRIS",""))</f>
        <v/>
      </c>
      <c r="E12" s="41">
        <f>TEXTJOIN(", ";TRUE,IF(Calendario!C45&lt;&gt;"","SUSANNA("&amp;Calendario!C45&amp;")",""), IF(Calendario!D45&lt;&gt;"","ZUA("&amp;Calendario!D45&amp;")",""), IF(Calendario!E45&lt;&gt;"","PEPE("&amp;Calendario!E45&amp;")",""), IF(Calendario!F45&lt;&gt;"","ANTO("&amp;Calendario!F45&amp;")",""), IF(Calendario!G45&lt;&gt;"","ELIAS("&amp;Calendario!G45&amp;")",""), IF(Calendario!H45&lt;&gt;"","CRIS("&amp;Calendario!H45&amp;")",""))</f>
        <v/>
      </c>
    </row>
    <row r="13" ht="22" customHeight="1">
      <c r="A13" s="6" t="n">
        <v>12</v>
      </c>
      <c r="B13" s="33" t="n">
        <v>46246</v>
      </c>
      <c r="C13" s="6" t="inlineStr">
        <is>
          <t>Mie</t>
        </is>
      </c>
      <c r="D13" s="41">
        <f>TEXTJOIN(", ";TRUE,IF(Calendario!C46="","SUSANNA",""), IF(Calendario!D46="","ZUA",""), IF(Calendario!E46="","PEPE",""), IF(Calendario!F46="","ANTO",""), IF(Calendario!G46="","ELIAS",""), IF(Calendario!H46="","CRIS",""))</f>
        <v/>
      </c>
      <c r="E13" s="41">
        <f>TEXTJOIN(", ";TRUE,IF(Calendario!C46&lt;&gt;"","SUSANNA("&amp;Calendario!C46&amp;")",""), IF(Calendario!D46&lt;&gt;"","ZUA("&amp;Calendario!D46&amp;")",""), IF(Calendario!E46&lt;&gt;"","PEPE("&amp;Calendario!E46&amp;")",""), IF(Calendario!F46&lt;&gt;"","ANTO("&amp;Calendario!F46&amp;")",""), IF(Calendario!G46&lt;&gt;"","ELIAS("&amp;Calendario!G46&amp;")",""), IF(Calendario!H46&lt;&gt;"","CRIS("&amp;Calendario!H46&amp;")",""))</f>
        <v/>
      </c>
    </row>
    <row r="14" ht="22" customHeight="1">
      <c r="A14" s="6" t="n">
        <v>13</v>
      </c>
      <c r="B14" s="33" t="n">
        <v>46247</v>
      </c>
      <c r="C14" s="6" t="inlineStr">
        <is>
          <t>Jue</t>
        </is>
      </c>
      <c r="D14" s="41">
        <f>TEXTJOIN(", ";TRUE,IF(Calendario!C47="","SUSANNA",""), IF(Calendario!D47="","ZUA",""), IF(Calendario!E47="","PEPE",""), IF(Calendario!F47="","ANTO",""), IF(Calendario!G47="","ELIAS",""), IF(Calendario!H47="","CRIS",""))</f>
        <v/>
      </c>
      <c r="E14" s="41">
        <f>TEXTJOIN(", ";TRUE,IF(Calendario!C47&lt;&gt;"","SUSANNA("&amp;Calendario!C47&amp;")",""), IF(Calendario!D47&lt;&gt;"","ZUA("&amp;Calendario!D47&amp;")",""), IF(Calendario!E47&lt;&gt;"","PEPE("&amp;Calendario!E47&amp;")",""), IF(Calendario!F47&lt;&gt;"","ANTO("&amp;Calendario!F47&amp;")",""), IF(Calendario!G47&lt;&gt;"","ELIAS("&amp;Calendario!G47&amp;")",""), IF(Calendario!H47&lt;&gt;"","CRIS("&amp;Calendario!H47&amp;")",""))</f>
        <v/>
      </c>
    </row>
    <row r="15" ht="22" customHeight="1">
      <c r="A15" s="6" t="n">
        <v>14</v>
      </c>
      <c r="B15" s="33" t="n">
        <v>46248</v>
      </c>
      <c r="C15" s="6" t="inlineStr">
        <is>
          <t>Vie</t>
        </is>
      </c>
      <c r="D15" s="41">
        <f>TEXTJOIN(", ";TRUE,IF(Calendario!C48="","SUSANNA",""), IF(Calendario!D48="","ZUA",""), IF(Calendario!E48="","PEPE",""), IF(Calendario!F48="","ANTO",""), IF(Calendario!G48="","ELIAS",""), IF(Calendario!H48="","CRIS",""))</f>
        <v/>
      </c>
      <c r="E15" s="41">
        <f>TEXTJOIN(", ";TRUE,IF(Calendario!C48&lt;&gt;"","SUSANNA("&amp;Calendario!C48&amp;")",""), IF(Calendario!D48&lt;&gt;"","ZUA("&amp;Calendario!D48&amp;")",""), IF(Calendario!E48&lt;&gt;"","PEPE("&amp;Calendario!E48&amp;")",""), IF(Calendario!F48&lt;&gt;"","ANTO("&amp;Calendario!F48&amp;")",""), IF(Calendario!G48&lt;&gt;"","ELIAS("&amp;Calendario!G48&amp;")",""), IF(Calendario!H48&lt;&gt;"","CRIS("&amp;Calendario!H48&amp;")",""))</f>
        <v/>
      </c>
    </row>
    <row r="16" ht="22" customHeight="1">
      <c r="A16" s="8" t="n">
        <v>15</v>
      </c>
      <c r="B16" s="7" t="n">
        <v>46249</v>
      </c>
      <c r="C16" s="8" t="inlineStr">
        <is>
          <t>Sab</t>
        </is>
      </c>
      <c r="D16" s="42">
        <f>TEXTJOIN(", ";TRUE,IF(Calendario!C49="","SUSANNA",""), IF(Calendario!D49="","ZUA",""), IF(Calendario!E49="","PEPE",""), IF(Calendario!F49="","ANTO",""), IF(Calendario!G49="","ELIAS",""), IF(Calendario!H49="","CRIS",""))</f>
        <v/>
      </c>
      <c r="E16" s="42">
        <f>TEXTJOIN(", ";TRUE,IF(Calendario!C49&lt;&gt;"","SUSANNA("&amp;Calendario!C49&amp;")",""), IF(Calendario!D49&lt;&gt;"","ZUA("&amp;Calendario!D49&amp;")",""), IF(Calendario!E49&lt;&gt;"","PEPE("&amp;Calendario!E49&amp;")",""), IF(Calendario!F49&lt;&gt;"","ANTO("&amp;Calendario!F49&amp;")",""), IF(Calendario!G49&lt;&gt;"","ELIAS("&amp;Calendario!G49&amp;")",""), IF(Calendario!H49&lt;&gt;"","CRIS("&amp;Calendario!H49&amp;")",""))</f>
        <v/>
      </c>
    </row>
    <row r="17" ht="22" customHeight="1">
      <c r="A17" s="8" t="n">
        <v>16</v>
      </c>
      <c r="B17" s="7" t="n">
        <v>46250</v>
      </c>
      <c r="C17" s="8" t="inlineStr">
        <is>
          <t>Dom</t>
        </is>
      </c>
      <c r="D17" s="42">
        <f>TEXTJOIN(", ";TRUE,IF(Calendario!C50="","SUSANNA",""), IF(Calendario!D50="","ZUA",""), IF(Calendario!E50="","PEPE",""), IF(Calendario!F50="","ANTO",""), IF(Calendario!G50="","ELIAS",""), IF(Calendario!H50="","CRIS",""))</f>
        <v/>
      </c>
      <c r="E17" s="42">
        <f>TEXTJOIN(", ";TRUE,IF(Calendario!C50&lt;&gt;"","SUSANNA("&amp;Calendario!C50&amp;")",""), IF(Calendario!D50&lt;&gt;"","ZUA("&amp;Calendario!D50&amp;")",""), IF(Calendario!E50&lt;&gt;"","PEPE("&amp;Calendario!E50&amp;")",""), IF(Calendario!F50&lt;&gt;"","ANTO("&amp;Calendario!F50&amp;")",""), IF(Calendario!G50&lt;&gt;"","ELIAS("&amp;Calendario!G50&amp;")",""), IF(Calendario!H50&lt;&gt;"","CRIS("&amp;Calendario!H50&amp;")",""))</f>
        <v/>
      </c>
    </row>
    <row r="18" ht="22" customHeight="1">
      <c r="A18" s="6" t="n">
        <v>17</v>
      </c>
      <c r="B18" s="33" t="n">
        <v>46251</v>
      </c>
      <c r="C18" s="6" t="inlineStr">
        <is>
          <t>Lun</t>
        </is>
      </c>
      <c r="D18" s="41">
        <f>TEXTJOIN(", ";TRUE,IF(Calendario!C51="","SUSANNA",""), IF(Calendario!D51="","ZUA",""), IF(Calendario!E51="","PEPE",""), IF(Calendario!F51="","ANTO",""), IF(Calendario!G51="","ELIAS",""), IF(Calendario!H51="","CRIS",""))</f>
        <v/>
      </c>
      <c r="E18" s="41">
        <f>TEXTJOIN(", ";TRUE,IF(Calendario!C51&lt;&gt;"","SUSANNA("&amp;Calendario!C51&amp;")",""), IF(Calendario!D51&lt;&gt;"","ZUA("&amp;Calendario!D51&amp;")",""), IF(Calendario!E51&lt;&gt;"","PEPE("&amp;Calendario!E51&amp;")",""), IF(Calendario!F51&lt;&gt;"","ANTO("&amp;Calendario!F51&amp;")",""), IF(Calendario!G51&lt;&gt;"","ELIAS("&amp;Calendario!G51&amp;")",""), IF(Calendario!H51&lt;&gt;"","CRIS("&amp;Calendario!H51&amp;")",""))</f>
        <v/>
      </c>
    </row>
    <row r="19" ht="22" customHeight="1">
      <c r="A19" s="6" t="n">
        <v>18</v>
      </c>
      <c r="B19" s="33" t="n">
        <v>46252</v>
      </c>
      <c r="C19" s="6" t="inlineStr">
        <is>
          <t>Mar</t>
        </is>
      </c>
      <c r="D19" s="41">
        <f>TEXTJOIN(", ";TRUE,IF(Calendario!C52="","SUSANNA",""), IF(Calendario!D52="","ZUA",""), IF(Calendario!E52="","PEPE",""), IF(Calendario!F52="","ANTO",""), IF(Calendario!G52="","ELIAS",""), IF(Calendario!H52="","CRIS",""))</f>
        <v/>
      </c>
      <c r="E19" s="41">
        <f>TEXTJOIN(", ";TRUE,IF(Calendario!C52&lt;&gt;"","SUSANNA("&amp;Calendario!C52&amp;")",""), IF(Calendario!D52&lt;&gt;"","ZUA("&amp;Calendario!D52&amp;")",""), IF(Calendario!E52&lt;&gt;"","PEPE("&amp;Calendario!E52&amp;")",""), IF(Calendario!F52&lt;&gt;"","ANTO("&amp;Calendario!F52&amp;")",""), IF(Calendario!G52&lt;&gt;"","ELIAS("&amp;Calendario!G52&amp;")",""), IF(Calendario!H52&lt;&gt;"","CRIS("&amp;Calendario!H52&amp;")",""))</f>
        <v/>
      </c>
    </row>
    <row r="20" ht="22" customHeight="1">
      <c r="A20" s="6" t="n">
        <v>19</v>
      </c>
      <c r="B20" s="33" t="n">
        <v>46253</v>
      </c>
      <c r="C20" s="6" t="inlineStr">
        <is>
          <t>Mie</t>
        </is>
      </c>
      <c r="D20" s="41">
        <f>TEXTJOIN(", ";TRUE,IF(Calendario!C53="","SUSANNA",""), IF(Calendario!D53="","ZUA",""), IF(Calendario!E53="","PEPE",""), IF(Calendario!F53="","ANTO",""), IF(Calendario!G53="","ELIAS",""), IF(Calendario!H53="","CRIS",""))</f>
        <v/>
      </c>
      <c r="E20" s="41">
        <f>TEXTJOIN(", ";TRUE,IF(Calendario!C53&lt;&gt;"","SUSANNA("&amp;Calendario!C53&amp;")",""), IF(Calendario!D53&lt;&gt;"","ZUA("&amp;Calendario!D53&amp;")",""), IF(Calendario!E53&lt;&gt;"","PEPE("&amp;Calendario!E53&amp;")",""), IF(Calendario!F53&lt;&gt;"","ANTO("&amp;Calendario!F53&amp;")",""), IF(Calendario!G53&lt;&gt;"","ELIAS("&amp;Calendario!G53&amp;")",""), IF(Calendario!H53&lt;&gt;"","CRIS("&amp;Calendario!H53&amp;")",""))</f>
        <v/>
      </c>
    </row>
    <row r="21" ht="22" customHeight="1">
      <c r="A21" s="6" t="n">
        <v>20</v>
      </c>
      <c r="B21" s="33" t="n">
        <v>46254</v>
      </c>
      <c r="C21" s="6" t="inlineStr">
        <is>
          <t>Jue</t>
        </is>
      </c>
      <c r="D21" s="41">
        <f>TEXTJOIN(", ";TRUE,IF(Calendario!C54="","SUSANNA",""), IF(Calendario!D54="","ZUA",""), IF(Calendario!E54="","PEPE",""), IF(Calendario!F54="","ANTO",""), IF(Calendario!G54="","ELIAS",""), IF(Calendario!H54="","CRIS",""))</f>
        <v/>
      </c>
      <c r="E21" s="41">
        <f>TEXTJOIN(", ";TRUE,IF(Calendario!C54&lt;&gt;"","SUSANNA("&amp;Calendario!C54&amp;")",""), IF(Calendario!D54&lt;&gt;"","ZUA("&amp;Calendario!D54&amp;")",""), IF(Calendario!E54&lt;&gt;"","PEPE("&amp;Calendario!E54&amp;")",""), IF(Calendario!F54&lt;&gt;"","ANTO("&amp;Calendario!F54&amp;")",""), IF(Calendario!G54&lt;&gt;"","ELIAS("&amp;Calendario!G54&amp;")",""), IF(Calendario!H54&lt;&gt;"","CRIS("&amp;Calendario!H54&amp;")",""))</f>
        <v/>
      </c>
    </row>
    <row r="22" ht="22" customHeight="1">
      <c r="A22" s="6" t="n">
        <v>21</v>
      </c>
      <c r="B22" s="33" t="n">
        <v>46255</v>
      </c>
      <c r="C22" s="6" t="inlineStr">
        <is>
          <t>Vie</t>
        </is>
      </c>
      <c r="D22" s="41">
        <f>TEXTJOIN(", ";TRUE,IF(Calendario!C55="","SUSANNA",""), IF(Calendario!D55="","ZUA",""), IF(Calendario!E55="","PEPE",""), IF(Calendario!F55="","ANTO",""), IF(Calendario!G55="","ELIAS",""), IF(Calendario!H55="","CRIS",""))</f>
        <v/>
      </c>
      <c r="E22" s="41">
        <f>TEXTJOIN(", ";TRUE,IF(Calendario!C55&lt;&gt;"","SUSANNA("&amp;Calendario!C55&amp;")",""), IF(Calendario!D55&lt;&gt;"","ZUA("&amp;Calendario!D55&amp;")",""), IF(Calendario!E55&lt;&gt;"","PEPE("&amp;Calendario!E55&amp;")",""), IF(Calendario!F55&lt;&gt;"","ANTO("&amp;Calendario!F55&amp;")",""), IF(Calendario!G55&lt;&gt;"","ELIAS("&amp;Calendario!G55&amp;")",""), IF(Calendario!H55&lt;&gt;"","CRIS("&amp;Calendario!H55&amp;")",""))</f>
        <v/>
      </c>
    </row>
    <row r="23" ht="22" customHeight="1">
      <c r="A23" s="8" t="n">
        <v>22</v>
      </c>
      <c r="B23" s="7" t="n">
        <v>46256</v>
      </c>
      <c r="C23" s="8" t="inlineStr">
        <is>
          <t>Sab</t>
        </is>
      </c>
      <c r="D23" s="42">
        <f>TEXTJOIN(", ";TRUE,IF(Calendario!C56="","SUSANNA",""), IF(Calendario!D56="","ZUA",""), IF(Calendario!E56="","PEPE",""), IF(Calendario!F56="","ANTO",""), IF(Calendario!G56="","ELIAS",""), IF(Calendario!H56="","CRIS",""))</f>
        <v/>
      </c>
      <c r="E23" s="42">
        <f>TEXTJOIN(", ";TRUE,IF(Calendario!C56&lt;&gt;"","SUSANNA("&amp;Calendario!C56&amp;")",""), IF(Calendario!D56&lt;&gt;"","ZUA("&amp;Calendario!D56&amp;")",""), IF(Calendario!E56&lt;&gt;"","PEPE("&amp;Calendario!E56&amp;")",""), IF(Calendario!F56&lt;&gt;"","ANTO("&amp;Calendario!F56&amp;")",""), IF(Calendario!G56&lt;&gt;"","ELIAS("&amp;Calendario!G56&amp;")",""), IF(Calendario!H56&lt;&gt;"","CRIS("&amp;Calendario!H56&amp;")",""))</f>
        <v/>
      </c>
    </row>
    <row r="24" ht="22" customHeight="1">
      <c r="A24" s="8" t="n">
        <v>23</v>
      </c>
      <c r="B24" s="7" t="n">
        <v>46257</v>
      </c>
      <c r="C24" s="8" t="inlineStr">
        <is>
          <t>Dom</t>
        </is>
      </c>
      <c r="D24" s="42">
        <f>TEXTJOIN(", ";TRUE,IF(Calendario!C57="","SUSANNA",""), IF(Calendario!D57="","ZUA",""), IF(Calendario!E57="","PEPE",""), IF(Calendario!F57="","ANTO",""), IF(Calendario!G57="","ELIAS",""), IF(Calendario!H57="","CRIS",""))</f>
        <v/>
      </c>
      <c r="E24" s="42">
        <f>TEXTJOIN(", ";TRUE,IF(Calendario!C57&lt;&gt;"","SUSANNA("&amp;Calendario!C57&amp;")",""), IF(Calendario!D57&lt;&gt;"","ZUA("&amp;Calendario!D57&amp;")",""), IF(Calendario!E57&lt;&gt;"","PEPE("&amp;Calendario!E57&amp;")",""), IF(Calendario!F57&lt;&gt;"","ANTO("&amp;Calendario!F57&amp;")",""), IF(Calendario!G57&lt;&gt;"","ELIAS("&amp;Calendario!G57&amp;")",""), IF(Calendario!H57&lt;&gt;"","CRIS("&amp;Calendario!H57&amp;")",""))</f>
        <v/>
      </c>
    </row>
    <row r="25" ht="22" customHeight="1">
      <c r="A25" s="6" t="n">
        <v>24</v>
      </c>
      <c r="B25" s="33" t="n">
        <v>46258</v>
      </c>
      <c r="C25" s="6" t="inlineStr">
        <is>
          <t>Lun</t>
        </is>
      </c>
      <c r="D25" s="41">
        <f>TEXTJOIN(", ";TRUE,IF(Calendario!C58="","SUSANNA",""), IF(Calendario!D58="","ZUA",""), IF(Calendario!E58="","PEPE",""), IF(Calendario!F58="","ANTO",""), IF(Calendario!G58="","ELIAS",""), IF(Calendario!H58="","CRIS",""))</f>
        <v/>
      </c>
      <c r="E25" s="41">
        <f>TEXTJOIN(", ";TRUE,IF(Calendario!C58&lt;&gt;"","SUSANNA("&amp;Calendario!C58&amp;")",""), IF(Calendario!D58&lt;&gt;"","ZUA("&amp;Calendario!D58&amp;")",""), IF(Calendario!E58&lt;&gt;"","PEPE("&amp;Calendario!E58&amp;")",""), IF(Calendario!F58&lt;&gt;"","ANTO("&amp;Calendario!F58&amp;")",""), IF(Calendario!G58&lt;&gt;"","ELIAS("&amp;Calendario!G58&amp;")",""), IF(Calendario!H58&lt;&gt;"","CRIS("&amp;Calendario!H58&amp;")",""))</f>
        <v/>
      </c>
    </row>
    <row r="26" ht="22" customHeight="1">
      <c r="A26" s="6" t="n">
        <v>25</v>
      </c>
      <c r="B26" s="33" t="n">
        <v>46259</v>
      </c>
      <c r="C26" s="6" t="inlineStr">
        <is>
          <t>Mar</t>
        </is>
      </c>
      <c r="D26" s="41">
        <f>TEXTJOIN(", ";TRUE,IF(Calendario!C59="","SUSANNA",""), IF(Calendario!D59="","ZUA",""), IF(Calendario!E59="","PEPE",""), IF(Calendario!F59="","ANTO",""), IF(Calendario!G59="","ELIAS",""), IF(Calendario!H59="","CRIS",""))</f>
        <v/>
      </c>
      <c r="E26" s="41">
        <f>TEXTJOIN(", ";TRUE,IF(Calendario!C59&lt;&gt;"","SUSANNA("&amp;Calendario!C59&amp;")",""), IF(Calendario!D59&lt;&gt;"","ZUA("&amp;Calendario!D59&amp;")",""), IF(Calendario!E59&lt;&gt;"","PEPE("&amp;Calendario!E59&amp;")",""), IF(Calendario!F59&lt;&gt;"","ANTO("&amp;Calendario!F59&amp;")",""), IF(Calendario!G59&lt;&gt;"","ELIAS("&amp;Calendario!G59&amp;")",""), IF(Calendario!H59&lt;&gt;"","CRIS("&amp;Calendario!H59&amp;")",""))</f>
        <v/>
      </c>
    </row>
    <row r="27" ht="22" customHeight="1">
      <c r="A27" s="6" t="n">
        <v>26</v>
      </c>
      <c r="B27" s="33" t="n">
        <v>46260</v>
      </c>
      <c r="C27" s="6" t="inlineStr">
        <is>
          <t>Mie</t>
        </is>
      </c>
      <c r="D27" s="41">
        <f>TEXTJOIN(", ";TRUE,IF(Calendario!C60="","SUSANNA",""), IF(Calendario!D60="","ZUA",""), IF(Calendario!E60="","PEPE",""), IF(Calendario!F60="","ANTO",""), IF(Calendario!G60="","ELIAS",""), IF(Calendario!H60="","CRIS",""))</f>
        <v/>
      </c>
      <c r="E27" s="41">
        <f>TEXTJOIN(", ";TRUE,IF(Calendario!C60&lt;&gt;"","SUSANNA("&amp;Calendario!C60&amp;")",""), IF(Calendario!D60&lt;&gt;"","ZUA("&amp;Calendario!D60&amp;")",""), IF(Calendario!E60&lt;&gt;"","PEPE("&amp;Calendario!E60&amp;")",""), IF(Calendario!F60&lt;&gt;"","ANTO("&amp;Calendario!F60&amp;")",""), IF(Calendario!G60&lt;&gt;"","ELIAS("&amp;Calendario!G60&amp;")",""), IF(Calendario!H60&lt;&gt;"","CRIS("&amp;Calendario!H60&amp;")",""))</f>
        <v/>
      </c>
    </row>
    <row r="28" ht="22" customHeight="1">
      <c r="A28" s="6" t="n">
        <v>27</v>
      </c>
      <c r="B28" s="33" t="n">
        <v>46261</v>
      </c>
      <c r="C28" s="6" t="inlineStr">
        <is>
          <t>Jue</t>
        </is>
      </c>
      <c r="D28" s="41">
        <f>TEXTJOIN(", ";TRUE,IF(Calendario!C61="","SUSANNA",""), IF(Calendario!D61="","ZUA",""), IF(Calendario!E61="","PEPE",""), IF(Calendario!F61="","ANTO",""), IF(Calendario!G61="","ELIAS",""), IF(Calendario!H61="","CRIS",""))</f>
        <v/>
      </c>
      <c r="E28" s="41">
        <f>TEXTJOIN(", ";TRUE,IF(Calendario!C61&lt;&gt;"","SUSANNA("&amp;Calendario!C61&amp;")",""), IF(Calendario!D61&lt;&gt;"","ZUA("&amp;Calendario!D61&amp;")",""), IF(Calendario!E61&lt;&gt;"","PEPE("&amp;Calendario!E61&amp;")",""), IF(Calendario!F61&lt;&gt;"","ANTO("&amp;Calendario!F61&amp;")",""), IF(Calendario!G61&lt;&gt;"","ELIAS("&amp;Calendario!G61&amp;")",""), IF(Calendario!H61&lt;&gt;"","CRIS("&amp;Calendario!H61&amp;")",""))</f>
        <v/>
      </c>
    </row>
    <row r="29" ht="22" customHeight="1">
      <c r="A29" s="6" t="n">
        <v>28</v>
      </c>
      <c r="B29" s="33" t="n">
        <v>46262</v>
      </c>
      <c r="C29" s="6" t="inlineStr">
        <is>
          <t>Vie</t>
        </is>
      </c>
      <c r="D29" s="41">
        <f>TEXTJOIN(", ";TRUE,IF(Calendario!C62="","SUSANNA",""), IF(Calendario!D62="","ZUA",""), IF(Calendario!E62="","PEPE",""), IF(Calendario!F62="","ANTO",""), IF(Calendario!G62="","ELIAS",""), IF(Calendario!H62="","CRIS",""))</f>
        <v/>
      </c>
      <c r="E29" s="41">
        <f>TEXTJOIN(", ";TRUE,IF(Calendario!C62&lt;&gt;"","SUSANNA("&amp;Calendario!C62&amp;")",""), IF(Calendario!D62&lt;&gt;"","ZUA("&amp;Calendario!D62&amp;")",""), IF(Calendario!E62&lt;&gt;"","PEPE("&amp;Calendario!E62&amp;")",""), IF(Calendario!F62&lt;&gt;"","ANTO("&amp;Calendario!F62&amp;")",""), IF(Calendario!G62&lt;&gt;"","ELIAS("&amp;Calendario!G62&amp;")",""), IF(Calendario!H62&lt;&gt;"","CRIS("&amp;Calendario!H62&amp;")",""))</f>
        <v/>
      </c>
    </row>
    <row r="30" ht="22" customHeight="1">
      <c r="A30" s="8" t="n">
        <v>29</v>
      </c>
      <c r="B30" s="7" t="n">
        <v>46263</v>
      </c>
      <c r="C30" s="8" t="inlineStr">
        <is>
          <t>Sab</t>
        </is>
      </c>
      <c r="D30" s="42">
        <f>TEXTJOIN(", ";TRUE,IF(Calendario!C63="","SUSANNA",""), IF(Calendario!D63="","ZUA",""), IF(Calendario!E63="","PEPE",""), IF(Calendario!F63="","ANTO",""), IF(Calendario!G63="","ELIAS",""), IF(Calendario!H63="","CRIS",""))</f>
        <v/>
      </c>
      <c r="E30" s="42">
        <f>TEXTJOIN(", ";TRUE,IF(Calendario!C63&lt;&gt;"","SUSANNA("&amp;Calendario!C63&amp;")",""), IF(Calendario!D63&lt;&gt;"","ZUA("&amp;Calendario!D63&amp;")",""), IF(Calendario!E63&lt;&gt;"","PEPE("&amp;Calendario!E63&amp;")",""), IF(Calendario!F63&lt;&gt;"","ANTO("&amp;Calendario!F63&amp;")",""), IF(Calendario!G63&lt;&gt;"","ELIAS("&amp;Calendario!G63&amp;")",""), IF(Calendario!H63&lt;&gt;"","CRIS("&amp;Calendario!H63&amp;")",""))</f>
        <v/>
      </c>
    </row>
    <row r="31" ht="22" customHeight="1">
      <c r="A31" s="8" t="n">
        <v>30</v>
      </c>
      <c r="B31" s="7" t="n">
        <v>46264</v>
      </c>
      <c r="C31" s="8" t="inlineStr">
        <is>
          <t>Dom</t>
        </is>
      </c>
      <c r="D31" s="42">
        <f>TEXTJOIN(", ";TRUE,IF(Calendario!C64="","SUSANNA",""), IF(Calendario!D64="","ZUA",""), IF(Calendario!E64="","PEPE",""), IF(Calendario!F64="","ANTO",""), IF(Calendario!G64="","ELIAS",""), IF(Calendario!H64="","CRIS",""))</f>
        <v/>
      </c>
      <c r="E31" s="42">
        <f>TEXTJOIN(", ";TRUE,IF(Calendario!C64&lt;&gt;"","SUSANNA("&amp;Calendario!C64&amp;")",""), IF(Calendario!D64&lt;&gt;"","ZUA("&amp;Calendario!D64&amp;")",""), IF(Calendario!E64&lt;&gt;"","PEPE("&amp;Calendario!E64&amp;")",""), IF(Calendario!F64&lt;&gt;"","ANTO("&amp;Calendario!F64&amp;")",""), IF(Calendario!G64&lt;&gt;"","ELIAS("&amp;Calendario!G64&amp;")",""), IF(Calendario!H64&lt;&gt;"","CRIS("&amp;Calendario!H64&amp;")",""))</f>
        <v/>
      </c>
    </row>
    <row r="32" ht="22" customHeight="1">
      <c r="A32" s="6" t="n">
        <v>31</v>
      </c>
      <c r="B32" s="33" t="n">
        <v>46265</v>
      </c>
      <c r="C32" s="6" t="inlineStr">
        <is>
          <t>Lun</t>
        </is>
      </c>
      <c r="D32" s="41">
        <f>TEXTJOIN(", ";TRUE,IF(Calendario!C65="","SUSANNA",""), IF(Calendario!D65="","ZUA",""), IF(Calendario!E65="","PEPE",""), IF(Calendario!F65="","ANTO",""), IF(Calendario!G65="","ELIAS",""), IF(Calendario!H65="","CRIS",""))</f>
        <v/>
      </c>
      <c r="E32" s="41">
        <f>TEXTJOIN(", ";TRUE,IF(Calendario!C65&lt;&gt;"","SUSANNA("&amp;Calendario!C65&amp;")",""), IF(Calendario!D65&lt;&gt;"","ZUA("&amp;Calendario!D65&amp;")",""), IF(Calendario!E65&lt;&gt;"","PEPE("&amp;Calendario!E65&amp;")",""), IF(Calendario!F65&lt;&gt;"","ANTO("&amp;Calendario!F65&amp;")",""), IF(Calendario!G65&lt;&gt;"","ELIAS("&amp;Calendario!G65&amp;")",""), IF(Calendario!H65&lt;&gt;"","CRIS("&amp;Calendario!H65&amp;")",""))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2" customHeight="1">
      <c r="A1" s="44" t="inlineStr">
        <is>
          <t xml:space="preserve">  JULIO 2026</t>
        </is>
      </c>
      <c r="B1" s="3" t="n"/>
      <c r="C1" s="3" t="n"/>
      <c r="D1" s="3" t="n"/>
      <c r="E1" s="3" t="n"/>
      <c r="F1" s="3" t="n"/>
      <c r="G1" s="3" t="n"/>
    </row>
    <row r="2" ht="26" customHeight="1">
      <c r="A2" s="45" t="inlineStr">
        <is>
          <t>Lun</t>
        </is>
      </c>
      <c r="B2" s="45" t="inlineStr">
        <is>
          <t>Mar</t>
        </is>
      </c>
      <c r="C2" s="45" t="inlineStr">
        <is>
          <t>Mie</t>
        </is>
      </c>
      <c r="D2" s="45" t="inlineStr">
        <is>
          <t>Jue</t>
        </is>
      </c>
      <c r="E2" s="45" t="inlineStr">
        <is>
          <t>Vie</t>
        </is>
      </c>
      <c r="F2" s="45" t="inlineStr">
        <is>
          <t>Sab</t>
        </is>
      </c>
      <c r="G2" s="45" t="inlineStr">
        <is>
          <t>Dom</t>
        </is>
      </c>
    </row>
    <row r="3" ht="130" customHeight="1">
      <c r="A3" s="46" t="n"/>
      <c r="B3" s="46" t="n"/>
      <c r="C3" s="47">
        <f>TEXTJOIN(CHAR(10);TRUE;TEXT(Calendario!A3,"DD"),IF(Calendario!C3="";"🟢 SUSANNA";""),IF(Calendario!C3="CL";"🟤 SUSANNA(CL)";""),IF(Calendario!C3="FV";"🟡 SUSANNA(FV)";""),IF(Calendario!C3="TM";"🔵 SUSANNA(TM)";""),IF(Calendario!C3="TN";"🟣 SUSANNA(TN)";""),IF(Calendario!C3="TT";"🟠 SUSANNA(TT)";""),IF(Calendario!D3="";"🟢 ZUA";""),IF(Calendario!D3="CL";"🟤 ZUA(CL)";""),IF(Calendario!D3="FV";"🟡 ZUA(FV)";""),IF(Calendario!D3="TM";"🔵 ZUA(TM)";""),IF(Calendario!D3="TN";"🟣 ZUA(TN)";""),IF(Calendario!D3="TT";"🟠 ZUA(TT)";""),IF(Calendario!E3="";"🟢 PEPE";""),IF(Calendario!E3="CL";"🟤 PEPE(CL)";""),IF(Calendario!E3="FV";"🟡 PEPE(FV)";""),IF(Calendario!E3="TM";"🔵 PEPE(TM)";""),IF(Calendario!E3="TN";"🟣 PEPE(TN)";""),IF(Calendario!E3="TT";"🟠 PEPE(TT)";""),IF(Calendario!F3="";"🟢 ANTO";""),IF(Calendario!F3="CL";"🟤 ANTO(CL)";""),IF(Calendario!F3="FV";"🟡 ANTO(FV)";""),IF(Calendario!F3="TM";"🔵 ANTO(TM)";""),IF(Calendario!F3="TN";"🟣 ANTO(TN)";""),IF(Calendario!F3="TT";"🟠 ANTO(TT)";""),IF(Calendario!G3="";"🟢 ELIAS";""),IF(Calendario!G3="CL";"🟤 ELIAS(CL)";""),IF(Calendario!G3="FV";"🟡 ELIAS(FV)";""),IF(Calendario!G3="TM";"🔵 ELIAS(TM)";""),IF(Calendario!G3="TN";"🟣 ELIAS(TN)";""),IF(Calendario!G3="TT";"🟠 ELIAS(TT)";""),IF(Calendario!H3="";"🟢 CRIS";""),IF(Calendario!H3="CL";"🟤 CRIS(CL)";""),IF(Calendario!H3="FV";"🟡 CRIS(FV)";""),IF(Calendario!H3="TM";"🔵 CRIS(TM)";""),IF(Calendario!H3="TN";"🟣 CRIS(TN)";""),IF(Calendario!H3="TT";"🟠 CRIS(TT)";""))</f>
        <v/>
      </c>
      <c r="D3" s="47">
        <f>TEXTJOIN(CHAR(10);TRUE;TEXT(Calendario!A4,"DD"),IF(Calendario!C4="";"🟢 SUSANNA";""),IF(Calendario!C4="CL";"🟤 SUSANNA(CL)";""),IF(Calendario!C4="FV";"🟡 SUSANNA(FV)";""),IF(Calendario!C4="TM";"🔵 SUSANNA(TM)";""),IF(Calendario!C4="TN";"🟣 SUSANNA(TN)";""),IF(Calendario!C4="TT";"🟠 SUSANNA(TT)";""),IF(Calendario!D4="";"🟢 ZUA";""),IF(Calendario!D4="CL";"🟤 ZUA(CL)";""),IF(Calendario!D4="FV";"🟡 ZUA(FV)";""),IF(Calendario!D4="TM";"🔵 ZUA(TM)";""),IF(Calendario!D4="TN";"🟣 ZUA(TN)";""),IF(Calendario!D4="TT";"🟠 ZUA(TT)";""),IF(Calendario!E4="";"🟢 PEPE";""),IF(Calendario!E4="CL";"🟤 PEPE(CL)";""),IF(Calendario!E4="FV";"🟡 PEPE(FV)";""),IF(Calendario!E4="TM";"🔵 PEPE(TM)";""),IF(Calendario!E4="TN";"🟣 PEPE(TN)";""),IF(Calendario!E4="TT";"🟠 PEPE(TT)";""),IF(Calendario!F4="";"🟢 ANTO";""),IF(Calendario!F4="CL";"🟤 ANTO(CL)";""),IF(Calendario!F4="FV";"🟡 ANTO(FV)";""),IF(Calendario!F4="TM";"🔵 ANTO(TM)";""),IF(Calendario!F4="TN";"🟣 ANTO(TN)";""),IF(Calendario!F4="TT";"🟠 ANTO(TT)";""),IF(Calendario!G4="";"🟢 ELIAS";""),IF(Calendario!G4="CL";"🟤 ELIAS(CL)";""),IF(Calendario!G4="FV";"🟡 ELIAS(FV)";""),IF(Calendario!G4="TM";"🔵 ELIAS(TM)";""),IF(Calendario!G4="TN";"🟣 ELIAS(TN)";""),IF(Calendario!G4="TT";"🟠 ELIAS(TT)";""),IF(Calendario!H4="";"🟢 CRIS";""),IF(Calendario!H4="CL";"🟤 CRIS(CL)";""),IF(Calendario!H4="FV";"🟡 CRIS(FV)";""),IF(Calendario!H4="TM";"🔵 CRIS(TM)";""),IF(Calendario!H4="TN";"🟣 CRIS(TN)";""),IF(Calendario!H4="TT";"🟠 CRIS(TT)";""))</f>
        <v/>
      </c>
      <c r="E3" s="47">
        <f>TEXTJOIN(CHAR(10);TRUE;TEXT(Calendario!A5,"DD"),IF(Calendario!C5="";"🟢 SUSANNA";""),IF(Calendario!C5="CL";"🟤 SUSANNA(CL)";""),IF(Calendario!C5="FV";"🟡 SUSANNA(FV)";""),IF(Calendario!C5="TM";"🔵 SUSANNA(TM)";""),IF(Calendario!C5="TN";"🟣 SUSANNA(TN)";""),IF(Calendario!C5="TT";"🟠 SUSANNA(TT)";""),IF(Calendario!D5="";"🟢 ZUA";""),IF(Calendario!D5="CL";"🟤 ZUA(CL)";""),IF(Calendario!D5="FV";"🟡 ZUA(FV)";""),IF(Calendario!D5="TM";"🔵 ZUA(TM)";""),IF(Calendario!D5="TN";"🟣 ZUA(TN)";""),IF(Calendario!D5="TT";"🟠 ZUA(TT)";""),IF(Calendario!E5="";"🟢 PEPE";""),IF(Calendario!E5="CL";"🟤 PEPE(CL)";""),IF(Calendario!E5="FV";"🟡 PEPE(FV)";""),IF(Calendario!E5="TM";"🔵 PEPE(TM)";""),IF(Calendario!E5="TN";"🟣 PEPE(TN)";""),IF(Calendario!E5="TT";"🟠 PEPE(TT)";""),IF(Calendario!F5="";"🟢 ANTO";""),IF(Calendario!F5="CL";"🟤 ANTO(CL)";""),IF(Calendario!F5="FV";"🟡 ANTO(FV)";""),IF(Calendario!F5="TM";"🔵 ANTO(TM)";""),IF(Calendario!F5="TN";"🟣 ANTO(TN)";""),IF(Calendario!F5="TT";"🟠 ANTO(TT)";""),IF(Calendario!G5="";"🟢 ELIAS";""),IF(Calendario!G5="CL";"🟤 ELIAS(CL)";""),IF(Calendario!G5="FV";"🟡 ELIAS(FV)";""),IF(Calendario!G5="TM";"🔵 ELIAS(TM)";""),IF(Calendario!G5="TN";"🟣 ELIAS(TN)";""),IF(Calendario!G5="TT";"🟠 ELIAS(TT)";""),IF(Calendario!H5="";"🟢 CRIS";""),IF(Calendario!H5="CL";"🟤 CRIS(CL)";""),IF(Calendario!H5="FV";"🟡 CRIS(FV)";""),IF(Calendario!H5="TM";"🔵 CRIS(TM)";""),IF(Calendario!H5="TN";"🟣 CRIS(TN)";""),IF(Calendario!H5="TT";"🟠 CRIS(TT)";""))</f>
        <v/>
      </c>
      <c r="F3" s="48">
        <f>TEXTJOIN(CHAR(10);TRUE;TEXT(Calendario!A6,"DD"),IF(Calendario!C6="";"🟢 SUSANNA";""),IF(Calendario!C6="CL";"🟤 SUSANNA(CL)";""),IF(Calendario!C6="FV";"🟡 SUSANNA(FV)";""),IF(Calendario!C6="TM";"🔵 SUSANNA(TM)";""),IF(Calendario!C6="TN";"🟣 SUSANNA(TN)";""),IF(Calendario!C6="TT";"🟠 SUSANNA(TT)";""),IF(Calendario!D6="";"🟢 ZUA";""),IF(Calendario!D6="CL";"🟤 ZUA(CL)";""),IF(Calendario!D6="FV";"🟡 ZUA(FV)";""),IF(Calendario!D6="TM";"🔵 ZUA(TM)";""),IF(Calendario!D6="TN";"🟣 ZUA(TN)";""),IF(Calendario!D6="TT";"🟠 ZUA(TT)";""),IF(Calendario!E6="";"🟢 PEPE";""),IF(Calendario!E6="CL";"🟤 PEPE(CL)";""),IF(Calendario!E6="FV";"🟡 PEPE(FV)";""),IF(Calendario!E6="TM";"🔵 PEPE(TM)";""),IF(Calendario!E6="TN";"🟣 PEPE(TN)";""),IF(Calendario!E6="TT";"🟠 PEPE(TT)";""),IF(Calendario!F6="";"🟢 ANTO";""),IF(Calendario!F6="CL";"🟤 ANTO(CL)";""),IF(Calendario!F6="FV";"🟡 ANTO(FV)";""),IF(Calendario!F6="TM";"🔵 ANTO(TM)";""),IF(Calendario!F6="TN";"🟣 ANTO(TN)";""),IF(Calendario!F6="TT";"🟠 ANTO(TT)";""),IF(Calendario!G6="";"🟢 ELIAS";""),IF(Calendario!G6="CL";"🟤 ELIAS(CL)";""),IF(Calendario!G6="FV";"🟡 ELIAS(FV)";""),IF(Calendario!G6="TM";"🔵 ELIAS(TM)";""),IF(Calendario!G6="TN";"🟣 ELIAS(TN)";""),IF(Calendario!G6="TT";"🟠 ELIAS(TT)";""),IF(Calendario!H6="";"🟢 CRIS";""),IF(Calendario!H6="CL";"🟤 CRIS(CL)";""),IF(Calendario!H6="FV";"🟡 CRIS(FV)";""),IF(Calendario!H6="TM";"🔵 CRIS(TM)";""),IF(Calendario!H6="TN";"🟣 CRIS(TN)";""),IF(Calendario!H6="TT";"🟠 CRIS(TT)";""))</f>
        <v/>
      </c>
      <c r="G3" s="48">
        <f>TEXTJOIN(CHAR(10);TRUE;TEXT(Calendario!A7,"DD"),IF(Calendario!C7="";"🟢 SUSANNA";""),IF(Calendario!C7="CL";"🟤 SUSANNA(CL)";""),IF(Calendario!C7="FV";"🟡 SUSANNA(FV)";""),IF(Calendario!C7="TM";"🔵 SUSANNA(TM)";""),IF(Calendario!C7="TN";"🟣 SUSANNA(TN)";""),IF(Calendario!C7="TT";"🟠 SUSANNA(TT)";""),IF(Calendario!D7="";"🟢 ZUA";""),IF(Calendario!D7="CL";"🟤 ZUA(CL)";""),IF(Calendario!D7="FV";"🟡 ZUA(FV)";""),IF(Calendario!D7="TM";"🔵 ZUA(TM)";""),IF(Calendario!D7="TN";"🟣 ZUA(TN)";""),IF(Calendario!D7="TT";"🟠 ZUA(TT)";""),IF(Calendario!E7="";"🟢 PEPE";""),IF(Calendario!E7="CL";"🟤 PEPE(CL)";""),IF(Calendario!E7="FV";"🟡 PEPE(FV)";""),IF(Calendario!E7="TM";"🔵 PEPE(TM)";""),IF(Calendario!E7="TN";"🟣 PEPE(TN)";""),IF(Calendario!E7="TT";"🟠 PEPE(TT)";""),IF(Calendario!F7="";"🟢 ANTO";""),IF(Calendario!F7="CL";"🟤 ANTO(CL)";""),IF(Calendario!F7="FV";"🟡 ANTO(FV)";""),IF(Calendario!F7="TM";"🔵 ANTO(TM)";""),IF(Calendario!F7="TN";"🟣 ANTO(TN)";""),IF(Calendario!F7="TT";"🟠 ANTO(TT)";""),IF(Calendario!G7="";"🟢 ELIAS";""),IF(Calendario!G7="CL";"🟤 ELIAS(CL)";""),IF(Calendario!G7="FV";"🟡 ELIAS(FV)";""),IF(Calendario!G7="TM";"🔵 ELIAS(TM)";""),IF(Calendario!G7="TN";"🟣 ELIAS(TN)";""),IF(Calendario!G7="TT";"🟠 ELIAS(TT)";""),IF(Calendario!H7="";"🟢 CRIS";""),IF(Calendario!H7="CL";"🟤 CRIS(CL)";""),IF(Calendario!H7="FV";"🟡 CRIS(FV)";""),IF(Calendario!H7="TM";"🔵 CRIS(TM)";""),IF(Calendario!H7="TN";"🟣 CRIS(TN)";""),IF(Calendario!H7="TT";"🟠 CRIS(TT)";""))</f>
        <v/>
      </c>
    </row>
    <row r="4" ht="130" customHeight="1">
      <c r="A4" s="47">
        <f>TEXTJOIN(CHAR(10);TRUE;TEXT(Calendario!A8,"DD"),IF(Calendario!C8="";"🟢 SUSANNA";""),IF(Calendario!C8="CL";"🟤 SUSANNA(CL)";""),IF(Calendario!C8="FV";"🟡 SUSANNA(FV)";""),IF(Calendario!C8="TM";"🔵 SUSANNA(TM)";""),IF(Calendario!C8="TN";"🟣 SUSANNA(TN)";""),IF(Calendario!C8="TT";"🟠 SUSANNA(TT)";""),IF(Calendario!D8="";"🟢 ZUA";""),IF(Calendario!D8="CL";"🟤 ZUA(CL)";""),IF(Calendario!D8="FV";"🟡 ZUA(FV)";""),IF(Calendario!D8="TM";"🔵 ZUA(TM)";""),IF(Calendario!D8="TN";"🟣 ZUA(TN)";""),IF(Calendario!D8="TT";"🟠 ZUA(TT)";""),IF(Calendario!E8="";"🟢 PEPE";""),IF(Calendario!E8="CL";"🟤 PEPE(CL)";""),IF(Calendario!E8="FV";"🟡 PEPE(FV)";""),IF(Calendario!E8="TM";"🔵 PEPE(TM)";""),IF(Calendario!E8="TN";"🟣 PEPE(TN)";""),IF(Calendario!E8="TT";"🟠 PEPE(TT)";""),IF(Calendario!F8="";"🟢 ANTO";""),IF(Calendario!F8="CL";"🟤 ANTO(CL)";""),IF(Calendario!F8="FV";"🟡 ANTO(FV)";""),IF(Calendario!F8="TM";"🔵 ANTO(TM)";""),IF(Calendario!F8="TN";"🟣 ANTO(TN)";""),IF(Calendario!F8="TT";"🟠 ANTO(TT)";""),IF(Calendario!G8="";"🟢 ELIAS";""),IF(Calendario!G8="CL";"🟤 ELIAS(CL)";""),IF(Calendario!G8="FV";"🟡 ELIAS(FV)";""),IF(Calendario!G8="TM";"🔵 ELIAS(TM)";""),IF(Calendario!G8="TN";"🟣 ELIAS(TN)";""),IF(Calendario!G8="TT";"🟠 ELIAS(TT)";""),IF(Calendario!H8="";"🟢 CRIS";""),IF(Calendario!H8="CL";"🟤 CRIS(CL)";""),IF(Calendario!H8="FV";"🟡 CRIS(FV)";""),IF(Calendario!H8="TM";"🔵 CRIS(TM)";""),IF(Calendario!H8="TN";"🟣 CRIS(TN)";""),IF(Calendario!H8="TT";"🟠 CRIS(TT)";""))</f>
        <v/>
      </c>
      <c r="B4" s="47">
        <f>TEXTJOIN(CHAR(10);TRUE;TEXT(Calendario!A9,"DD"),IF(Calendario!C9="";"🟢 SUSANNA";""),IF(Calendario!C9="CL";"🟤 SUSANNA(CL)";""),IF(Calendario!C9="FV";"🟡 SUSANNA(FV)";""),IF(Calendario!C9="TM";"🔵 SUSANNA(TM)";""),IF(Calendario!C9="TN";"🟣 SUSANNA(TN)";""),IF(Calendario!C9="TT";"🟠 SUSANNA(TT)";""),IF(Calendario!D9="";"🟢 ZUA";""),IF(Calendario!D9="CL";"🟤 ZUA(CL)";""),IF(Calendario!D9="FV";"🟡 ZUA(FV)";""),IF(Calendario!D9="TM";"🔵 ZUA(TM)";""),IF(Calendario!D9="TN";"🟣 ZUA(TN)";""),IF(Calendario!D9="TT";"🟠 ZUA(TT)";""),IF(Calendario!E9="";"🟢 PEPE";""),IF(Calendario!E9="CL";"🟤 PEPE(CL)";""),IF(Calendario!E9="FV";"🟡 PEPE(FV)";""),IF(Calendario!E9="TM";"🔵 PEPE(TM)";""),IF(Calendario!E9="TN";"🟣 PEPE(TN)";""),IF(Calendario!E9="TT";"🟠 PEPE(TT)";""),IF(Calendario!F9="";"🟢 ANTO";""),IF(Calendario!F9="CL";"🟤 ANTO(CL)";""),IF(Calendario!F9="FV";"🟡 ANTO(FV)";""),IF(Calendario!F9="TM";"🔵 ANTO(TM)";""),IF(Calendario!F9="TN";"🟣 ANTO(TN)";""),IF(Calendario!F9="TT";"🟠 ANTO(TT)";""),IF(Calendario!G9="";"🟢 ELIAS";""),IF(Calendario!G9="CL";"🟤 ELIAS(CL)";""),IF(Calendario!G9="FV";"🟡 ELIAS(FV)";""),IF(Calendario!G9="TM";"🔵 ELIAS(TM)";""),IF(Calendario!G9="TN";"🟣 ELIAS(TN)";""),IF(Calendario!G9="TT";"🟠 ELIAS(TT)";""),IF(Calendario!H9="";"🟢 CRIS";""),IF(Calendario!H9="CL";"🟤 CRIS(CL)";""),IF(Calendario!H9="FV";"🟡 CRIS(FV)";""),IF(Calendario!H9="TM";"🔵 CRIS(TM)";""),IF(Calendario!H9="TN";"🟣 CRIS(TN)";""),IF(Calendario!H9="TT";"🟠 CRIS(TT)";""))</f>
        <v/>
      </c>
      <c r="C4" s="47">
        <f>TEXTJOIN(CHAR(10);TRUE;TEXT(Calendario!A10,"DD"),IF(Calendario!C10="";"🟢 SUSANNA";""),IF(Calendario!C10="CL";"🟤 SUSANNA(CL)";""),IF(Calendario!C10="FV";"🟡 SUSANNA(FV)";""),IF(Calendario!C10="TM";"🔵 SUSANNA(TM)";""),IF(Calendario!C10="TN";"🟣 SUSANNA(TN)";""),IF(Calendario!C10="TT";"🟠 SUSANNA(TT)";""),IF(Calendario!D10="";"🟢 ZUA";""),IF(Calendario!D10="CL";"🟤 ZUA(CL)";""),IF(Calendario!D10="FV";"🟡 ZUA(FV)";""),IF(Calendario!D10="TM";"🔵 ZUA(TM)";""),IF(Calendario!D10="TN";"🟣 ZUA(TN)";""),IF(Calendario!D10="TT";"🟠 ZUA(TT)";""),IF(Calendario!E10="";"🟢 PEPE";""),IF(Calendario!E10="CL";"🟤 PEPE(CL)";""),IF(Calendario!E10="FV";"🟡 PEPE(FV)";""),IF(Calendario!E10="TM";"🔵 PEPE(TM)";""),IF(Calendario!E10="TN";"🟣 PEPE(TN)";""),IF(Calendario!E10="TT";"🟠 PEPE(TT)";""),IF(Calendario!F10="";"🟢 ANTO";""),IF(Calendario!F10="CL";"🟤 ANTO(CL)";""),IF(Calendario!F10="FV";"🟡 ANTO(FV)";""),IF(Calendario!F10="TM";"🔵 ANTO(TM)";""),IF(Calendario!F10="TN";"🟣 ANTO(TN)";""),IF(Calendario!F10="TT";"🟠 ANTO(TT)";""),IF(Calendario!G10="";"🟢 ELIAS";""),IF(Calendario!G10="CL";"🟤 ELIAS(CL)";""),IF(Calendario!G10="FV";"🟡 ELIAS(FV)";""),IF(Calendario!G10="TM";"🔵 ELIAS(TM)";""),IF(Calendario!G10="TN";"🟣 ELIAS(TN)";""),IF(Calendario!G10="TT";"🟠 ELIAS(TT)";""),IF(Calendario!H10="";"🟢 CRIS";""),IF(Calendario!H10="CL";"🟤 CRIS(CL)";""),IF(Calendario!H10="FV";"🟡 CRIS(FV)";""),IF(Calendario!H10="TM";"🔵 CRIS(TM)";""),IF(Calendario!H10="TN";"🟣 CRIS(TN)";""),IF(Calendario!H10="TT";"🟠 CRIS(TT)";""))</f>
        <v/>
      </c>
      <c r="D4" s="47">
        <f>TEXTJOIN(CHAR(10);TRUE;TEXT(Calendario!A11,"DD"),IF(Calendario!C11="";"🟢 SUSANNA";""),IF(Calendario!C11="CL";"🟤 SUSANNA(CL)";""),IF(Calendario!C11="FV";"🟡 SUSANNA(FV)";""),IF(Calendario!C11="TM";"🔵 SUSANNA(TM)";""),IF(Calendario!C11="TN";"🟣 SUSANNA(TN)";""),IF(Calendario!C11="TT";"🟠 SUSANNA(TT)";""),IF(Calendario!D11="";"🟢 ZUA";""),IF(Calendario!D11="CL";"🟤 ZUA(CL)";""),IF(Calendario!D11="FV";"🟡 ZUA(FV)";""),IF(Calendario!D11="TM";"🔵 ZUA(TM)";""),IF(Calendario!D11="TN";"🟣 ZUA(TN)";""),IF(Calendario!D11="TT";"🟠 ZUA(TT)";""),IF(Calendario!E11="";"🟢 PEPE";""),IF(Calendario!E11="CL";"🟤 PEPE(CL)";""),IF(Calendario!E11="FV";"🟡 PEPE(FV)";""),IF(Calendario!E11="TM";"🔵 PEPE(TM)";""),IF(Calendario!E11="TN";"🟣 PEPE(TN)";""),IF(Calendario!E11="TT";"🟠 PEPE(TT)";""),IF(Calendario!F11="";"🟢 ANTO";""),IF(Calendario!F11="CL";"🟤 ANTO(CL)";""),IF(Calendario!F11="FV";"🟡 ANTO(FV)";""),IF(Calendario!F11="TM";"🔵 ANTO(TM)";""),IF(Calendario!F11="TN";"🟣 ANTO(TN)";""),IF(Calendario!F11="TT";"🟠 ANTO(TT)";""),IF(Calendario!G11="";"🟢 ELIAS";""),IF(Calendario!G11="CL";"🟤 ELIAS(CL)";""),IF(Calendario!G11="FV";"🟡 ELIAS(FV)";""),IF(Calendario!G11="TM";"🔵 ELIAS(TM)";""),IF(Calendario!G11="TN";"🟣 ELIAS(TN)";""),IF(Calendario!G11="TT";"🟠 ELIAS(TT)";""),IF(Calendario!H11="";"🟢 CRIS";""),IF(Calendario!H11="CL";"🟤 CRIS(CL)";""),IF(Calendario!H11="FV";"🟡 CRIS(FV)";""),IF(Calendario!H11="TM";"🔵 CRIS(TM)";""),IF(Calendario!H11="TN";"🟣 CRIS(TN)";""),IF(Calendario!H11="TT";"🟠 CRIS(TT)";""))</f>
        <v/>
      </c>
      <c r="E4" s="47">
        <f>TEXTJOIN(CHAR(10);TRUE;TEXT(Calendario!A12,"DD"),IF(Calendario!C12="";"🟢 SUSANNA";""),IF(Calendario!C12="CL";"🟤 SUSANNA(CL)";""),IF(Calendario!C12="FV";"🟡 SUSANNA(FV)";""),IF(Calendario!C12="TM";"🔵 SUSANNA(TM)";""),IF(Calendario!C12="TN";"🟣 SUSANNA(TN)";""),IF(Calendario!C12="TT";"🟠 SUSANNA(TT)";""),IF(Calendario!D12="";"🟢 ZUA";""),IF(Calendario!D12="CL";"🟤 ZUA(CL)";""),IF(Calendario!D12="FV";"🟡 ZUA(FV)";""),IF(Calendario!D12="TM";"🔵 ZUA(TM)";""),IF(Calendario!D12="TN";"🟣 ZUA(TN)";""),IF(Calendario!D12="TT";"🟠 ZUA(TT)";""),IF(Calendario!E12="";"🟢 PEPE";""),IF(Calendario!E12="CL";"🟤 PEPE(CL)";""),IF(Calendario!E12="FV";"🟡 PEPE(FV)";""),IF(Calendario!E12="TM";"🔵 PEPE(TM)";""),IF(Calendario!E12="TN";"🟣 PEPE(TN)";""),IF(Calendario!E12="TT";"🟠 PEPE(TT)";""),IF(Calendario!F12="";"🟢 ANTO";""),IF(Calendario!F12="CL";"🟤 ANTO(CL)";""),IF(Calendario!F12="FV";"🟡 ANTO(FV)";""),IF(Calendario!F12="TM";"🔵 ANTO(TM)";""),IF(Calendario!F12="TN";"🟣 ANTO(TN)";""),IF(Calendario!F12="TT";"🟠 ANTO(TT)";""),IF(Calendario!G12="";"🟢 ELIAS";""),IF(Calendario!G12="CL";"🟤 ELIAS(CL)";""),IF(Calendario!G12="FV";"🟡 ELIAS(FV)";""),IF(Calendario!G12="TM";"🔵 ELIAS(TM)";""),IF(Calendario!G12="TN";"🟣 ELIAS(TN)";""),IF(Calendario!G12="TT";"🟠 ELIAS(TT)";""),IF(Calendario!H12="";"🟢 CRIS";""),IF(Calendario!H12="CL";"🟤 CRIS(CL)";""),IF(Calendario!H12="FV";"🟡 CRIS(FV)";""),IF(Calendario!H12="TM";"🔵 CRIS(TM)";""),IF(Calendario!H12="TN";"🟣 CRIS(TN)";""),IF(Calendario!H12="TT";"🟠 CRIS(TT)";""))</f>
        <v/>
      </c>
      <c r="F4" s="48">
        <f>TEXTJOIN(CHAR(10);TRUE;TEXT(Calendario!A13,"DD"),IF(Calendario!C13="";"🟢 SUSANNA";""),IF(Calendario!C13="CL";"🟤 SUSANNA(CL)";""),IF(Calendario!C13="FV";"🟡 SUSANNA(FV)";""),IF(Calendario!C13="TM";"🔵 SUSANNA(TM)";""),IF(Calendario!C13="TN";"🟣 SUSANNA(TN)";""),IF(Calendario!C13="TT";"🟠 SUSANNA(TT)";""),IF(Calendario!D13="";"🟢 ZUA";""),IF(Calendario!D13="CL";"🟤 ZUA(CL)";""),IF(Calendario!D13="FV";"🟡 ZUA(FV)";""),IF(Calendario!D13="TM";"🔵 ZUA(TM)";""),IF(Calendario!D13="TN";"🟣 ZUA(TN)";""),IF(Calendario!D13="TT";"🟠 ZUA(TT)";""),IF(Calendario!E13="";"🟢 PEPE";""),IF(Calendario!E13="CL";"🟤 PEPE(CL)";""),IF(Calendario!E13="FV";"🟡 PEPE(FV)";""),IF(Calendario!E13="TM";"🔵 PEPE(TM)";""),IF(Calendario!E13="TN";"🟣 PEPE(TN)";""),IF(Calendario!E13="TT";"🟠 PEPE(TT)";""),IF(Calendario!F13="";"🟢 ANTO";""),IF(Calendario!F13="CL";"🟤 ANTO(CL)";""),IF(Calendario!F13="FV";"🟡 ANTO(FV)";""),IF(Calendario!F13="TM";"🔵 ANTO(TM)";""),IF(Calendario!F13="TN";"🟣 ANTO(TN)";""),IF(Calendario!F13="TT";"🟠 ANTO(TT)";""),IF(Calendario!G13="";"🟢 ELIAS";""),IF(Calendario!G13="CL";"🟤 ELIAS(CL)";""),IF(Calendario!G13="FV";"🟡 ELIAS(FV)";""),IF(Calendario!G13="TM";"🔵 ELIAS(TM)";""),IF(Calendario!G13="TN";"🟣 ELIAS(TN)";""),IF(Calendario!G13="TT";"🟠 ELIAS(TT)";""),IF(Calendario!H13="";"🟢 CRIS";""),IF(Calendario!H13="CL";"🟤 CRIS(CL)";""),IF(Calendario!H13="FV";"🟡 CRIS(FV)";""),IF(Calendario!H13="TM";"🔵 CRIS(TM)";""),IF(Calendario!H13="TN";"🟣 CRIS(TN)";""),IF(Calendario!H13="TT";"🟠 CRIS(TT)";""))</f>
        <v/>
      </c>
      <c r="G4" s="48">
        <f>TEXTJOIN(CHAR(10);TRUE;TEXT(Calendario!A14,"DD"),IF(Calendario!C14="";"🟢 SUSANNA";""),IF(Calendario!C14="CL";"🟤 SUSANNA(CL)";""),IF(Calendario!C14="FV";"🟡 SUSANNA(FV)";""),IF(Calendario!C14="TM";"🔵 SUSANNA(TM)";""),IF(Calendario!C14="TN";"🟣 SUSANNA(TN)";""),IF(Calendario!C14="TT";"🟠 SUSANNA(TT)";""),IF(Calendario!D14="";"🟢 ZUA";""),IF(Calendario!D14="CL";"🟤 ZUA(CL)";""),IF(Calendario!D14="FV";"🟡 ZUA(FV)";""),IF(Calendario!D14="TM";"🔵 ZUA(TM)";""),IF(Calendario!D14="TN";"🟣 ZUA(TN)";""),IF(Calendario!D14="TT";"🟠 ZUA(TT)";""),IF(Calendario!E14="";"🟢 PEPE";""),IF(Calendario!E14="CL";"🟤 PEPE(CL)";""),IF(Calendario!E14="FV";"🟡 PEPE(FV)";""),IF(Calendario!E14="TM";"🔵 PEPE(TM)";""),IF(Calendario!E14="TN";"🟣 PEPE(TN)";""),IF(Calendario!E14="TT";"🟠 PEPE(TT)";""),IF(Calendario!F14="";"🟢 ANTO";""),IF(Calendario!F14="CL";"🟤 ANTO(CL)";""),IF(Calendario!F14="FV";"🟡 ANTO(FV)";""),IF(Calendario!F14="TM";"🔵 ANTO(TM)";""),IF(Calendario!F14="TN";"🟣 ANTO(TN)";""),IF(Calendario!F14="TT";"🟠 ANTO(TT)";""),IF(Calendario!G14="";"🟢 ELIAS";""),IF(Calendario!G14="CL";"🟤 ELIAS(CL)";""),IF(Calendario!G14="FV";"🟡 ELIAS(FV)";""),IF(Calendario!G14="TM";"🔵 ELIAS(TM)";""),IF(Calendario!G14="TN";"🟣 ELIAS(TN)";""),IF(Calendario!G14="TT";"🟠 ELIAS(TT)";""),IF(Calendario!H14="";"🟢 CRIS";""),IF(Calendario!H14="CL";"🟤 CRIS(CL)";""),IF(Calendario!H14="FV";"🟡 CRIS(FV)";""),IF(Calendario!H14="TM";"🔵 CRIS(TM)";""),IF(Calendario!H14="TN";"🟣 CRIS(TN)";""),IF(Calendario!H14="TT";"🟠 CRIS(TT)";""))</f>
        <v/>
      </c>
    </row>
    <row r="5" ht="130" customHeight="1">
      <c r="A5" s="47">
        <f>TEXTJOIN(CHAR(10);TRUE;TEXT(Calendario!A15,"DD"),IF(Calendario!C15="";"🟢 SUSANNA";""),IF(Calendario!C15="CL";"🟤 SUSANNA(CL)";""),IF(Calendario!C15="FV";"🟡 SUSANNA(FV)";""),IF(Calendario!C15="TM";"🔵 SUSANNA(TM)";""),IF(Calendario!C15="TN";"🟣 SUSANNA(TN)";""),IF(Calendario!C15="TT";"🟠 SUSANNA(TT)";""),IF(Calendario!D15="";"🟢 ZUA";""),IF(Calendario!D15="CL";"🟤 ZUA(CL)";""),IF(Calendario!D15="FV";"🟡 ZUA(FV)";""),IF(Calendario!D15="TM";"🔵 ZUA(TM)";""),IF(Calendario!D15="TN";"🟣 ZUA(TN)";""),IF(Calendario!D15="TT";"🟠 ZUA(TT)";""),IF(Calendario!E15="";"🟢 PEPE";""),IF(Calendario!E15="CL";"🟤 PEPE(CL)";""),IF(Calendario!E15="FV";"🟡 PEPE(FV)";""),IF(Calendario!E15="TM";"🔵 PEPE(TM)";""),IF(Calendario!E15="TN";"🟣 PEPE(TN)";""),IF(Calendario!E15="TT";"🟠 PEPE(TT)";""),IF(Calendario!F15="";"🟢 ANTO";""),IF(Calendario!F15="CL";"🟤 ANTO(CL)";""),IF(Calendario!F15="FV";"🟡 ANTO(FV)";""),IF(Calendario!F15="TM";"🔵 ANTO(TM)";""),IF(Calendario!F15="TN";"🟣 ANTO(TN)";""),IF(Calendario!F15="TT";"🟠 ANTO(TT)";""),IF(Calendario!G15="";"🟢 ELIAS";""),IF(Calendario!G15="CL";"🟤 ELIAS(CL)";""),IF(Calendario!G15="FV";"🟡 ELIAS(FV)";""),IF(Calendario!G15="TM";"🔵 ELIAS(TM)";""),IF(Calendario!G15="TN";"🟣 ELIAS(TN)";""),IF(Calendario!G15="TT";"🟠 ELIAS(TT)";""),IF(Calendario!H15="";"🟢 CRIS";""),IF(Calendario!H15="CL";"🟤 CRIS(CL)";""),IF(Calendario!H15="FV";"🟡 CRIS(FV)";""),IF(Calendario!H15="TM";"🔵 CRIS(TM)";""),IF(Calendario!H15="TN";"🟣 CRIS(TN)";""),IF(Calendario!H15="TT";"🟠 CRIS(TT)";""))</f>
        <v/>
      </c>
      <c r="B5" s="47">
        <f>TEXTJOIN(CHAR(10);TRUE;TEXT(Calendario!A16,"DD"),IF(Calendario!C16="";"🟢 SUSANNA";""),IF(Calendario!C16="CL";"🟤 SUSANNA(CL)";""),IF(Calendario!C16="FV";"🟡 SUSANNA(FV)";""),IF(Calendario!C16="TM";"🔵 SUSANNA(TM)";""),IF(Calendario!C16="TN";"🟣 SUSANNA(TN)";""),IF(Calendario!C16="TT";"🟠 SUSANNA(TT)";""),IF(Calendario!D16="";"🟢 ZUA";""),IF(Calendario!D16="CL";"🟤 ZUA(CL)";""),IF(Calendario!D16="FV";"🟡 ZUA(FV)";""),IF(Calendario!D16="TM";"🔵 ZUA(TM)";""),IF(Calendario!D16="TN";"🟣 ZUA(TN)";""),IF(Calendario!D16="TT";"🟠 ZUA(TT)";""),IF(Calendario!E16="";"🟢 PEPE";""),IF(Calendario!E16="CL";"🟤 PEPE(CL)";""),IF(Calendario!E16="FV";"🟡 PEPE(FV)";""),IF(Calendario!E16="TM";"🔵 PEPE(TM)";""),IF(Calendario!E16="TN";"🟣 PEPE(TN)";""),IF(Calendario!E16="TT";"🟠 PEPE(TT)";""),IF(Calendario!F16="";"🟢 ANTO";""),IF(Calendario!F16="CL";"🟤 ANTO(CL)";""),IF(Calendario!F16="FV";"🟡 ANTO(FV)";""),IF(Calendario!F16="TM";"🔵 ANTO(TM)";""),IF(Calendario!F16="TN";"🟣 ANTO(TN)";""),IF(Calendario!F16="TT";"🟠 ANTO(TT)";""),IF(Calendario!G16="";"🟢 ELIAS";""),IF(Calendario!G16="CL";"🟤 ELIAS(CL)";""),IF(Calendario!G16="FV";"🟡 ELIAS(FV)";""),IF(Calendario!G16="TM";"🔵 ELIAS(TM)";""),IF(Calendario!G16="TN";"🟣 ELIAS(TN)";""),IF(Calendario!G16="TT";"🟠 ELIAS(TT)";""),IF(Calendario!H16="";"🟢 CRIS";""),IF(Calendario!H16="CL";"🟤 CRIS(CL)";""),IF(Calendario!H16="FV";"🟡 CRIS(FV)";""),IF(Calendario!H16="TM";"🔵 CRIS(TM)";""),IF(Calendario!H16="TN";"🟣 CRIS(TN)";""),IF(Calendario!H16="TT";"🟠 CRIS(TT)";""))</f>
        <v/>
      </c>
      <c r="C5" s="47">
        <f>TEXTJOIN(CHAR(10);TRUE;TEXT(Calendario!A17,"DD"),IF(Calendario!C17="";"🟢 SUSANNA";""),IF(Calendario!C17="CL";"🟤 SUSANNA(CL)";""),IF(Calendario!C17="FV";"🟡 SUSANNA(FV)";""),IF(Calendario!C17="TM";"🔵 SUSANNA(TM)";""),IF(Calendario!C17="TN";"🟣 SUSANNA(TN)";""),IF(Calendario!C17="TT";"🟠 SUSANNA(TT)";""),IF(Calendario!D17="";"🟢 ZUA";""),IF(Calendario!D17="CL";"🟤 ZUA(CL)";""),IF(Calendario!D17="FV";"🟡 ZUA(FV)";""),IF(Calendario!D17="TM";"🔵 ZUA(TM)";""),IF(Calendario!D17="TN";"🟣 ZUA(TN)";""),IF(Calendario!D17="TT";"🟠 ZUA(TT)";""),IF(Calendario!E17="";"🟢 PEPE";""),IF(Calendario!E17="CL";"🟤 PEPE(CL)";""),IF(Calendario!E17="FV";"🟡 PEPE(FV)";""),IF(Calendario!E17="TM";"🔵 PEPE(TM)";""),IF(Calendario!E17="TN";"🟣 PEPE(TN)";""),IF(Calendario!E17="TT";"🟠 PEPE(TT)";""),IF(Calendario!F17="";"🟢 ANTO";""),IF(Calendario!F17="CL";"🟤 ANTO(CL)";""),IF(Calendario!F17="FV";"🟡 ANTO(FV)";""),IF(Calendario!F17="TM";"🔵 ANTO(TM)";""),IF(Calendario!F17="TN";"🟣 ANTO(TN)";""),IF(Calendario!F17="TT";"🟠 ANTO(TT)";""),IF(Calendario!G17="";"🟢 ELIAS";""),IF(Calendario!G17="CL";"🟤 ELIAS(CL)";""),IF(Calendario!G17="FV";"🟡 ELIAS(FV)";""),IF(Calendario!G17="TM";"🔵 ELIAS(TM)";""),IF(Calendario!G17="TN";"🟣 ELIAS(TN)";""),IF(Calendario!G17="TT";"🟠 ELIAS(TT)";""),IF(Calendario!H17="";"🟢 CRIS";""),IF(Calendario!H17="CL";"🟤 CRIS(CL)";""),IF(Calendario!H17="FV";"🟡 CRIS(FV)";""),IF(Calendario!H17="TM";"🔵 CRIS(TM)";""),IF(Calendario!H17="TN";"🟣 CRIS(TN)";""),IF(Calendario!H17="TT";"🟠 CRIS(TT)";""))</f>
        <v/>
      </c>
      <c r="D5" s="47">
        <f>TEXTJOIN(CHAR(10);TRUE;TEXT(Calendario!A18,"DD"),IF(Calendario!C18="";"🟢 SUSANNA";""),IF(Calendario!C18="CL";"🟤 SUSANNA(CL)";""),IF(Calendario!C18="FV";"🟡 SUSANNA(FV)";""),IF(Calendario!C18="TM";"🔵 SUSANNA(TM)";""),IF(Calendario!C18="TN";"🟣 SUSANNA(TN)";""),IF(Calendario!C18="TT";"🟠 SUSANNA(TT)";""),IF(Calendario!D18="";"🟢 ZUA";""),IF(Calendario!D18="CL";"🟤 ZUA(CL)";""),IF(Calendario!D18="FV";"🟡 ZUA(FV)";""),IF(Calendario!D18="TM";"🔵 ZUA(TM)";""),IF(Calendario!D18="TN";"🟣 ZUA(TN)";""),IF(Calendario!D18="TT";"🟠 ZUA(TT)";""),IF(Calendario!E18="";"🟢 PEPE";""),IF(Calendario!E18="CL";"🟤 PEPE(CL)";""),IF(Calendario!E18="FV";"🟡 PEPE(FV)";""),IF(Calendario!E18="TM";"🔵 PEPE(TM)";""),IF(Calendario!E18="TN";"🟣 PEPE(TN)";""),IF(Calendario!E18="TT";"🟠 PEPE(TT)";""),IF(Calendario!F18="";"🟢 ANTO";""),IF(Calendario!F18="CL";"🟤 ANTO(CL)";""),IF(Calendario!F18="FV";"🟡 ANTO(FV)";""),IF(Calendario!F18="TM";"🔵 ANTO(TM)";""),IF(Calendario!F18="TN";"🟣 ANTO(TN)";""),IF(Calendario!F18="TT";"🟠 ANTO(TT)";""),IF(Calendario!G18="";"🟢 ELIAS";""),IF(Calendario!G18="CL";"🟤 ELIAS(CL)";""),IF(Calendario!G18="FV";"🟡 ELIAS(FV)";""),IF(Calendario!G18="TM";"🔵 ELIAS(TM)";""),IF(Calendario!G18="TN";"🟣 ELIAS(TN)";""),IF(Calendario!G18="TT";"🟠 ELIAS(TT)";""),IF(Calendario!H18="";"🟢 CRIS";""),IF(Calendario!H18="CL";"🟤 CRIS(CL)";""),IF(Calendario!H18="FV";"🟡 CRIS(FV)";""),IF(Calendario!H18="TM";"🔵 CRIS(TM)";""),IF(Calendario!H18="TN";"🟣 CRIS(TN)";""),IF(Calendario!H18="TT";"🟠 CRIS(TT)";""))</f>
        <v/>
      </c>
      <c r="E5" s="47">
        <f>TEXTJOIN(CHAR(10);TRUE;TEXT(Calendario!A19,"DD"),IF(Calendario!C19="";"🟢 SUSANNA";""),IF(Calendario!C19="CL";"🟤 SUSANNA(CL)";""),IF(Calendario!C19="FV";"🟡 SUSANNA(FV)";""),IF(Calendario!C19="TM";"🔵 SUSANNA(TM)";""),IF(Calendario!C19="TN";"🟣 SUSANNA(TN)";""),IF(Calendario!C19="TT";"🟠 SUSANNA(TT)";""),IF(Calendario!D19="";"🟢 ZUA";""),IF(Calendario!D19="CL";"🟤 ZUA(CL)";""),IF(Calendario!D19="FV";"🟡 ZUA(FV)";""),IF(Calendario!D19="TM";"🔵 ZUA(TM)";""),IF(Calendario!D19="TN";"🟣 ZUA(TN)";""),IF(Calendario!D19="TT";"🟠 ZUA(TT)";""),IF(Calendario!E19="";"🟢 PEPE";""),IF(Calendario!E19="CL";"🟤 PEPE(CL)";""),IF(Calendario!E19="FV";"🟡 PEPE(FV)";""),IF(Calendario!E19="TM";"🔵 PEPE(TM)";""),IF(Calendario!E19="TN";"🟣 PEPE(TN)";""),IF(Calendario!E19="TT";"🟠 PEPE(TT)";""),IF(Calendario!F19="";"🟢 ANTO";""),IF(Calendario!F19="CL";"🟤 ANTO(CL)";""),IF(Calendario!F19="FV";"🟡 ANTO(FV)";""),IF(Calendario!F19="TM";"🔵 ANTO(TM)";""),IF(Calendario!F19="TN";"🟣 ANTO(TN)";""),IF(Calendario!F19="TT";"🟠 ANTO(TT)";""),IF(Calendario!G19="";"🟢 ELIAS";""),IF(Calendario!G19="CL";"🟤 ELIAS(CL)";""),IF(Calendario!G19="FV";"🟡 ELIAS(FV)";""),IF(Calendario!G19="TM";"🔵 ELIAS(TM)";""),IF(Calendario!G19="TN";"🟣 ELIAS(TN)";""),IF(Calendario!G19="TT";"🟠 ELIAS(TT)";""),IF(Calendario!H19="";"🟢 CRIS";""),IF(Calendario!H19="CL";"🟤 CRIS(CL)";""),IF(Calendario!H19="FV";"🟡 CRIS(FV)";""),IF(Calendario!H19="TM";"🔵 CRIS(TM)";""),IF(Calendario!H19="TN";"🟣 CRIS(TN)";""),IF(Calendario!H19="TT";"🟠 CRIS(TT)";""))</f>
        <v/>
      </c>
      <c r="F5" s="48">
        <f>TEXTJOIN(CHAR(10);TRUE;TEXT(Calendario!A20,"DD"),IF(Calendario!C20="";"🟢 SUSANNA";""),IF(Calendario!C20="CL";"🟤 SUSANNA(CL)";""),IF(Calendario!C20="FV";"🟡 SUSANNA(FV)";""),IF(Calendario!C20="TM";"🔵 SUSANNA(TM)";""),IF(Calendario!C20="TN";"🟣 SUSANNA(TN)";""),IF(Calendario!C20="TT";"🟠 SUSANNA(TT)";""),IF(Calendario!D20="";"🟢 ZUA";""),IF(Calendario!D20="CL";"🟤 ZUA(CL)";""),IF(Calendario!D20="FV";"🟡 ZUA(FV)";""),IF(Calendario!D20="TM";"🔵 ZUA(TM)";""),IF(Calendario!D20="TN";"🟣 ZUA(TN)";""),IF(Calendario!D20="TT";"🟠 ZUA(TT)";""),IF(Calendario!E20="";"🟢 PEPE";""),IF(Calendario!E20="CL";"🟤 PEPE(CL)";""),IF(Calendario!E20="FV";"🟡 PEPE(FV)";""),IF(Calendario!E20="TM";"🔵 PEPE(TM)";""),IF(Calendario!E20="TN";"🟣 PEPE(TN)";""),IF(Calendario!E20="TT";"🟠 PEPE(TT)";""),IF(Calendario!F20="";"🟢 ANTO";""),IF(Calendario!F20="CL";"🟤 ANTO(CL)";""),IF(Calendario!F20="FV";"🟡 ANTO(FV)";""),IF(Calendario!F20="TM";"🔵 ANTO(TM)";""),IF(Calendario!F20="TN";"🟣 ANTO(TN)";""),IF(Calendario!F20="TT";"🟠 ANTO(TT)";""),IF(Calendario!G20="";"🟢 ELIAS";""),IF(Calendario!G20="CL";"🟤 ELIAS(CL)";""),IF(Calendario!G20="FV";"🟡 ELIAS(FV)";""),IF(Calendario!G20="TM";"🔵 ELIAS(TM)";""),IF(Calendario!G20="TN";"🟣 ELIAS(TN)";""),IF(Calendario!G20="TT";"🟠 ELIAS(TT)";""),IF(Calendario!H20="";"🟢 CRIS";""),IF(Calendario!H20="CL";"🟤 CRIS(CL)";""),IF(Calendario!H20="FV";"🟡 CRIS(FV)";""),IF(Calendario!H20="TM";"🔵 CRIS(TM)";""),IF(Calendario!H20="TN";"🟣 CRIS(TN)";""),IF(Calendario!H20="TT";"🟠 CRIS(TT)";""))</f>
        <v/>
      </c>
      <c r="G5" s="48">
        <f>TEXTJOIN(CHAR(10);TRUE;TEXT(Calendario!A21,"DD"),IF(Calendario!C21="";"🟢 SUSANNA";""),IF(Calendario!C21="CL";"🟤 SUSANNA(CL)";""),IF(Calendario!C21="FV";"🟡 SUSANNA(FV)";""),IF(Calendario!C21="TM";"🔵 SUSANNA(TM)";""),IF(Calendario!C21="TN";"🟣 SUSANNA(TN)";""),IF(Calendario!C21="TT";"🟠 SUSANNA(TT)";""),IF(Calendario!D21="";"🟢 ZUA";""),IF(Calendario!D21="CL";"🟤 ZUA(CL)";""),IF(Calendario!D21="FV";"🟡 ZUA(FV)";""),IF(Calendario!D21="TM";"🔵 ZUA(TM)";""),IF(Calendario!D21="TN";"🟣 ZUA(TN)";""),IF(Calendario!D21="TT";"🟠 ZUA(TT)";""),IF(Calendario!E21="";"🟢 PEPE";""),IF(Calendario!E21="CL";"🟤 PEPE(CL)";""),IF(Calendario!E21="FV";"🟡 PEPE(FV)";""),IF(Calendario!E21="TM";"🔵 PEPE(TM)";""),IF(Calendario!E21="TN";"🟣 PEPE(TN)";""),IF(Calendario!E21="TT";"🟠 PEPE(TT)";""),IF(Calendario!F21="";"🟢 ANTO";""),IF(Calendario!F21="CL";"🟤 ANTO(CL)";""),IF(Calendario!F21="FV";"🟡 ANTO(FV)";""),IF(Calendario!F21="TM";"🔵 ANTO(TM)";""),IF(Calendario!F21="TN";"🟣 ANTO(TN)";""),IF(Calendario!F21="TT";"🟠 ANTO(TT)";""),IF(Calendario!G21="";"🟢 ELIAS";""),IF(Calendario!G21="CL";"🟤 ELIAS(CL)";""),IF(Calendario!G21="FV";"🟡 ELIAS(FV)";""),IF(Calendario!G21="TM";"🔵 ELIAS(TM)";""),IF(Calendario!G21="TN";"🟣 ELIAS(TN)";""),IF(Calendario!G21="TT";"🟠 ELIAS(TT)";""),IF(Calendario!H21="";"🟢 CRIS";""),IF(Calendario!H21="CL";"🟤 CRIS(CL)";""),IF(Calendario!H21="FV";"🟡 CRIS(FV)";""),IF(Calendario!H21="TM";"🔵 CRIS(TM)";""),IF(Calendario!H21="TN";"🟣 CRIS(TN)";""),IF(Calendario!H21="TT";"🟠 CRIS(TT)";""))</f>
        <v/>
      </c>
    </row>
    <row r="6" ht="130" customHeight="1">
      <c r="A6" s="47">
        <f>TEXTJOIN(CHAR(10);TRUE;TEXT(Calendario!A22,"DD"),IF(Calendario!C22="";"🟢 SUSANNA";""),IF(Calendario!C22="CL";"🟤 SUSANNA(CL)";""),IF(Calendario!C22="FV";"🟡 SUSANNA(FV)";""),IF(Calendario!C22="TM";"🔵 SUSANNA(TM)";""),IF(Calendario!C22="TN";"🟣 SUSANNA(TN)";""),IF(Calendario!C22="TT";"🟠 SUSANNA(TT)";""),IF(Calendario!D22="";"🟢 ZUA";""),IF(Calendario!D22="CL";"🟤 ZUA(CL)";""),IF(Calendario!D22="FV";"🟡 ZUA(FV)";""),IF(Calendario!D22="TM";"🔵 ZUA(TM)";""),IF(Calendario!D22="TN";"🟣 ZUA(TN)";""),IF(Calendario!D22="TT";"🟠 ZUA(TT)";""),IF(Calendario!E22="";"🟢 PEPE";""),IF(Calendario!E22="CL";"🟤 PEPE(CL)";""),IF(Calendario!E22="FV";"🟡 PEPE(FV)";""),IF(Calendario!E22="TM";"🔵 PEPE(TM)";""),IF(Calendario!E22="TN";"🟣 PEPE(TN)";""),IF(Calendario!E22="TT";"🟠 PEPE(TT)";""),IF(Calendario!F22="";"🟢 ANTO";""),IF(Calendario!F22="CL";"🟤 ANTO(CL)";""),IF(Calendario!F22="FV";"🟡 ANTO(FV)";""),IF(Calendario!F22="TM";"🔵 ANTO(TM)";""),IF(Calendario!F22="TN";"🟣 ANTO(TN)";""),IF(Calendario!F22="TT";"🟠 ANTO(TT)";""),IF(Calendario!G22="";"🟢 ELIAS";""),IF(Calendario!G22="CL";"🟤 ELIAS(CL)";""),IF(Calendario!G22="FV";"🟡 ELIAS(FV)";""),IF(Calendario!G22="TM";"🔵 ELIAS(TM)";""),IF(Calendario!G22="TN";"🟣 ELIAS(TN)";""),IF(Calendario!G22="TT";"🟠 ELIAS(TT)";""),IF(Calendario!H22="";"🟢 CRIS";""),IF(Calendario!H22="CL";"🟤 CRIS(CL)";""),IF(Calendario!H22="FV";"🟡 CRIS(FV)";""),IF(Calendario!H22="TM";"🔵 CRIS(TM)";""),IF(Calendario!H22="TN";"🟣 CRIS(TN)";""),IF(Calendario!H22="TT";"🟠 CRIS(TT)";""))</f>
        <v/>
      </c>
      <c r="B6" s="47">
        <f>TEXTJOIN(CHAR(10);TRUE;TEXT(Calendario!A23,"DD"),IF(Calendario!C23="";"🟢 SUSANNA";""),IF(Calendario!C23="CL";"🟤 SUSANNA(CL)";""),IF(Calendario!C23="FV";"🟡 SUSANNA(FV)";""),IF(Calendario!C23="TM";"🔵 SUSANNA(TM)";""),IF(Calendario!C23="TN";"🟣 SUSANNA(TN)";""),IF(Calendario!C23="TT";"🟠 SUSANNA(TT)";""),IF(Calendario!D23="";"🟢 ZUA";""),IF(Calendario!D23="CL";"🟤 ZUA(CL)";""),IF(Calendario!D23="FV";"🟡 ZUA(FV)";""),IF(Calendario!D23="TM";"🔵 ZUA(TM)";""),IF(Calendario!D23="TN";"🟣 ZUA(TN)";""),IF(Calendario!D23="TT";"🟠 ZUA(TT)";""),IF(Calendario!E23="";"🟢 PEPE";""),IF(Calendario!E23="CL";"🟤 PEPE(CL)";""),IF(Calendario!E23="FV";"🟡 PEPE(FV)";""),IF(Calendario!E23="TM";"🔵 PEPE(TM)";""),IF(Calendario!E23="TN";"🟣 PEPE(TN)";""),IF(Calendario!E23="TT";"🟠 PEPE(TT)";""),IF(Calendario!F23="";"🟢 ANTO";""),IF(Calendario!F23="CL";"🟤 ANTO(CL)";""),IF(Calendario!F23="FV";"🟡 ANTO(FV)";""),IF(Calendario!F23="TM";"🔵 ANTO(TM)";""),IF(Calendario!F23="TN";"🟣 ANTO(TN)";""),IF(Calendario!F23="TT";"🟠 ANTO(TT)";""),IF(Calendario!G23="";"🟢 ELIAS";""),IF(Calendario!G23="CL";"🟤 ELIAS(CL)";""),IF(Calendario!G23="FV";"🟡 ELIAS(FV)";""),IF(Calendario!G23="TM";"🔵 ELIAS(TM)";""),IF(Calendario!G23="TN";"🟣 ELIAS(TN)";""),IF(Calendario!G23="TT";"🟠 ELIAS(TT)";""),IF(Calendario!H23="";"🟢 CRIS";""),IF(Calendario!H23="CL";"🟤 CRIS(CL)";""),IF(Calendario!H23="FV";"🟡 CRIS(FV)";""),IF(Calendario!H23="TM";"🔵 CRIS(TM)";""),IF(Calendario!H23="TN";"🟣 CRIS(TN)";""),IF(Calendario!H23="TT";"🟠 CRIS(TT)";""))</f>
        <v/>
      </c>
      <c r="C6" s="47">
        <f>TEXTJOIN(CHAR(10);TRUE;TEXT(Calendario!A24,"DD"),IF(Calendario!C24="";"🟢 SUSANNA";""),IF(Calendario!C24="CL";"🟤 SUSANNA(CL)";""),IF(Calendario!C24="FV";"🟡 SUSANNA(FV)";""),IF(Calendario!C24="TM";"🔵 SUSANNA(TM)";""),IF(Calendario!C24="TN";"🟣 SUSANNA(TN)";""),IF(Calendario!C24="TT";"🟠 SUSANNA(TT)";""),IF(Calendario!D24="";"🟢 ZUA";""),IF(Calendario!D24="CL";"🟤 ZUA(CL)";""),IF(Calendario!D24="FV";"🟡 ZUA(FV)";""),IF(Calendario!D24="TM";"🔵 ZUA(TM)";""),IF(Calendario!D24="TN";"🟣 ZUA(TN)";""),IF(Calendario!D24="TT";"🟠 ZUA(TT)";""),IF(Calendario!E24="";"🟢 PEPE";""),IF(Calendario!E24="CL";"🟤 PEPE(CL)";""),IF(Calendario!E24="FV";"🟡 PEPE(FV)";""),IF(Calendario!E24="TM";"🔵 PEPE(TM)";""),IF(Calendario!E24="TN";"🟣 PEPE(TN)";""),IF(Calendario!E24="TT";"🟠 PEPE(TT)";""),IF(Calendario!F24="";"🟢 ANTO";""),IF(Calendario!F24="CL";"🟤 ANTO(CL)";""),IF(Calendario!F24="FV";"🟡 ANTO(FV)";""),IF(Calendario!F24="TM";"🔵 ANTO(TM)";""),IF(Calendario!F24="TN";"🟣 ANTO(TN)";""),IF(Calendario!F24="TT";"🟠 ANTO(TT)";""),IF(Calendario!G24="";"🟢 ELIAS";""),IF(Calendario!G24="CL";"🟤 ELIAS(CL)";""),IF(Calendario!G24="FV";"🟡 ELIAS(FV)";""),IF(Calendario!G24="TM";"🔵 ELIAS(TM)";""),IF(Calendario!G24="TN";"🟣 ELIAS(TN)";""),IF(Calendario!G24="TT";"🟠 ELIAS(TT)";""),IF(Calendario!H24="";"🟢 CRIS";""),IF(Calendario!H24="CL";"🟤 CRIS(CL)";""),IF(Calendario!H24="FV";"🟡 CRIS(FV)";""),IF(Calendario!H24="TM";"🔵 CRIS(TM)";""),IF(Calendario!H24="TN";"🟣 CRIS(TN)";""),IF(Calendario!H24="TT";"🟠 CRIS(TT)";""))</f>
        <v/>
      </c>
      <c r="D6" s="47">
        <f>TEXTJOIN(CHAR(10);TRUE;TEXT(Calendario!A25,"DD"),IF(Calendario!C25="";"🟢 SUSANNA";""),IF(Calendario!C25="CL";"🟤 SUSANNA(CL)";""),IF(Calendario!C25="FV";"🟡 SUSANNA(FV)";""),IF(Calendario!C25="TM";"🔵 SUSANNA(TM)";""),IF(Calendario!C25="TN";"🟣 SUSANNA(TN)";""),IF(Calendario!C25="TT";"🟠 SUSANNA(TT)";""),IF(Calendario!D25="";"🟢 ZUA";""),IF(Calendario!D25="CL";"🟤 ZUA(CL)";""),IF(Calendario!D25="FV";"🟡 ZUA(FV)";""),IF(Calendario!D25="TM";"🔵 ZUA(TM)";""),IF(Calendario!D25="TN";"🟣 ZUA(TN)";""),IF(Calendario!D25="TT";"🟠 ZUA(TT)";""),IF(Calendario!E25="";"🟢 PEPE";""),IF(Calendario!E25="CL";"🟤 PEPE(CL)";""),IF(Calendario!E25="FV";"🟡 PEPE(FV)";""),IF(Calendario!E25="TM";"🔵 PEPE(TM)";""),IF(Calendario!E25="TN";"🟣 PEPE(TN)";""),IF(Calendario!E25="TT";"🟠 PEPE(TT)";""),IF(Calendario!F25="";"🟢 ANTO";""),IF(Calendario!F25="CL";"🟤 ANTO(CL)";""),IF(Calendario!F25="FV";"🟡 ANTO(FV)";""),IF(Calendario!F25="TM";"🔵 ANTO(TM)";""),IF(Calendario!F25="TN";"🟣 ANTO(TN)";""),IF(Calendario!F25="TT";"🟠 ANTO(TT)";""),IF(Calendario!G25="";"🟢 ELIAS";""),IF(Calendario!G25="CL";"🟤 ELIAS(CL)";""),IF(Calendario!G25="FV";"🟡 ELIAS(FV)";""),IF(Calendario!G25="TM";"🔵 ELIAS(TM)";""),IF(Calendario!G25="TN";"🟣 ELIAS(TN)";""),IF(Calendario!G25="TT";"🟠 ELIAS(TT)";""),IF(Calendario!H25="";"🟢 CRIS";""),IF(Calendario!H25="CL";"🟤 CRIS(CL)";""),IF(Calendario!H25="FV";"🟡 CRIS(FV)";""),IF(Calendario!H25="TM";"🔵 CRIS(TM)";""),IF(Calendario!H25="TN";"🟣 CRIS(TN)";""),IF(Calendario!H25="TT";"🟠 CRIS(TT)";""))</f>
        <v/>
      </c>
      <c r="E6" s="47">
        <f>TEXTJOIN(CHAR(10);TRUE;TEXT(Calendario!A26,"DD"),IF(Calendario!C26="";"🟢 SUSANNA";""),IF(Calendario!C26="CL";"🟤 SUSANNA(CL)";""),IF(Calendario!C26="FV";"🟡 SUSANNA(FV)";""),IF(Calendario!C26="TM";"🔵 SUSANNA(TM)";""),IF(Calendario!C26="TN";"🟣 SUSANNA(TN)";""),IF(Calendario!C26="TT";"🟠 SUSANNA(TT)";""),IF(Calendario!D26="";"🟢 ZUA";""),IF(Calendario!D26="CL";"🟤 ZUA(CL)";""),IF(Calendario!D26="FV";"🟡 ZUA(FV)";""),IF(Calendario!D26="TM";"🔵 ZUA(TM)";""),IF(Calendario!D26="TN";"🟣 ZUA(TN)";""),IF(Calendario!D26="TT";"🟠 ZUA(TT)";""),IF(Calendario!E26="";"🟢 PEPE";""),IF(Calendario!E26="CL";"🟤 PEPE(CL)";""),IF(Calendario!E26="FV";"🟡 PEPE(FV)";""),IF(Calendario!E26="TM";"🔵 PEPE(TM)";""),IF(Calendario!E26="TN";"🟣 PEPE(TN)";""),IF(Calendario!E26="TT";"🟠 PEPE(TT)";""),IF(Calendario!F26="";"🟢 ANTO";""),IF(Calendario!F26="CL";"🟤 ANTO(CL)";""),IF(Calendario!F26="FV";"🟡 ANTO(FV)";""),IF(Calendario!F26="TM";"🔵 ANTO(TM)";""),IF(Calendario!F26="TN";"🟣 ANTO(TN)";""),IF(Calendario!F26="TT";"🟠 ANTO(TT)";""),IF(Calendario!G26="";"🟢 ELIAS";""),IF(Calendario!G26="CL";"🟤 ELIAS(CL)";""),IF(Calendario!G26="FV";"🟡 ELIAS(FV)";""),IF(Calendario!G26="TM";"🔵 ELIAS(TM)";""),IF(Calendario!G26="TN";"🟣 ELIAS(TN)";""),IF(Calendario!G26="TT";"🟠 ELIAS(TT)";""),IF(Calendario!H26="";"🟢 CRIS";""),IF(Calendario!H26="CL";"🟤 CRIS(CL)";""),IF(Calendario!H26="FV";"🟡 CRIS(FV)";""),IF(Calendario!H26="TM";"🔵 CRIS(TM)";""),IF(Calendario!H26="TN";"🟣 CRIS(TN)";""),IF(Calendario!H26="TT";"🟠 CRIS(TT)";""))</f>
        <v/>
      </c>
      <c r="F6" s="48">
        <f>TEXTJOIN(CHAR(10);TRUE;TEXT(Calendario!A27,"DD"),IF(Calendario!C27="";"🟢 SUSANNA";""),IF(Calendario!C27="CL";"🟤 SUSANNA(CL)";""),IF(Calendario!C27="FV";"🟡 SUSANNA(FV)";""),IF(Calendario!C27="TM";"🔵 SUSANNA(TM)";""),IF(Calendario!C27="TN";"🟣 SUSANNA(TN)";""),IF(Calendario!C27="TT";"🟠 SUSANNA(TT)";""),IF(Calendario!D27="";"🟢 ZUA";""),IF(Calendario!D27="CL";"🟤 ZUA(CL)";""),IF(Calendario!D27="FV";"🟡 ZUA(FV)";""),IF(Calendario!D27="TM";"🔵 ZUA(TM)";""),IF(Calendario!D27="TN";"🟣 ZUA(TN)";""),IF(Calendario!D27="TT";"🟠 ZUA(TT)";""),IF(Calendario!E27="";"🟢 PEPE";""),IF(Calendario!E27="CL";"🟤 PEPE(CL)";""),IF(Calendario!E27="FV";"🟡 PEPE(FV)";""),IF(Calendario!E27="TM";"🔵 PEPE(TM)";""),IF(Calendario!E27="TN";"🟣 PEPE(TN)";""),IF(Calendario!E27="TT";"🟠 PEPE(TT)";""),IF(Calendario!F27="";"🟢 ANTO";""),IF(Calendario!F27="CL";"🟤 ANTO(CL)";""),IF(Calendario!F27="FV";"🟡 ANTO(FV)";""),IF(Calendario!F27="TM";"🔵 ANTO(TM)";""),IF(Calendario!F27="TN";"🟣 ANTO(TN)";""),IF(Calendario!F27="TT";"🟠 ANTO(TT)";""),IF(Calendario!G27="";"🟢 ELIAS";""),IF(Calendario!G27="CL";"🟤 ELIAS(CL)";""),IF(Calendario!G27="FV";"🟡 ELIAS(FV)";""),IF(Calendario!G27="TM";"🔵 ELIAS(TM)";""),IF(Calendario!G27="TN";"🟣 ELIAS(TN)";""),IF(Calendario!G27="TT";"🟠 ELIAS(TT)";""),IF(Calendario!H27="";"🟢 CRIS";""),IF(Calendario!H27="CL";"🟤 CRIS(CL)";""),IF(Calendario!H27="FV";"🟡 CRIS(FV)";""),IF(Calendario!H27="TM";"🔵 CRIS(TM)";""),IF(Calendario!H27="TN";"🟣 CRIS(TN)";""),IF(Calendario!H27="TT";"🟠 CRIS(TT)";""))</f>
        <v/>
      </c>
      <c r="G6" s="48">
        <f>TEXTJOIN(CHAR(10);TRUE;TEXT(Calendario!A28,"DD"),IF(Calendario!C28="";"🟢 SUSANNA";""),IF(Calendario!C28="CL";"🟤 SUSANNA(CL)";""),IF(Calendario!C28="FV";"🟡 SUSANNA(FV)";""),IF(Calendario!C28="TM";"🔵 SUSANNA(TM)";""),IF(Calendario!C28="TN";"🟣 SUSANNA(TN)";""),IF(Calendario!C28="TT";"🟠 SUSANNA(TT)";""),IF(Calendario!D28="";"🟢 ZUA";""),IF(Calendario!D28="CL";"🟤 ZUA(CL)";""),IF(Calendario!D28="FV";"🟡 ZUA(FV)";""),IF(Calendario!D28="TM";"🔵 ZUA(TM)";""),IF(Calendario!D28="TN";"🟣 ZUA(TN)";""),IF(Calendario!D28="TT";"🟠 ZUA(TT)";""),IF(Calendario!E28="";"🟢 PEPE";""),IF(Calendario!E28="CL";"🟤 PEPE(CL)";""),IF(Calendario!E28="FV";"🟡 PEPE(FV)";""),IF(Calendario!E28="TM";"🔵 PEPE(TM)";""),IF(Calendario!E28="TN";"🟣 PEPE(TN)";""),IF(Calendario!E28="TT";"🟠 PEPE(TT)";""),IF(Calendario!F28="";"🟢 ANTO";""),IF(Calendario!F28="CL";"🟤 ANTO(CL)";""),IF(Calendario!F28="FV";"🟡 ANTO(FV)";""),IF(Calendario!F28="TM";"🔵 ANTO(TM)";""),IF(Calendario!F28="TN";"🟣 ANTO(TN)";""),IF(Calendario!F28="TT";"🟠 ANTO(TT)";""),IF(Calendario!G28="";"🟢 ELIAS";""),IF(Calendario!G28="CL";"🟤 ELIAS(CL)";""),IF(Calendario!G28="FV";"🟡 ELIAS(FV)";""),IF(Calendario!G28="TM";"🔵 ELIAS(TM)";""),IF(Calendario!G28="TN";"🟣 ELIAS(TN)";""),IF(Calendario!G28="TT";"🟠 ELIAS(TT)";""),IF(Calendario!H28="";"🟢 CRIS";""),IF(Calendario!H28="CL";"🟤 CRIS(CL)";""),IF(Calendario!H28="FV";"🟡 CRIS(FV)";""),IF(Calendario!H28="TM";"🔵 CRIS(TM)";""),IF(Calendario!H28="TN";"🟣 CRIS(TN)";""),IF(Calendario!H28="TT";"🟠 CRIS(TT)";""))</f>
        <v/>
      </c>
    </row>
    <row r="7" ht="130" customHeight="1">
      <c r="A7" s="47">
        <f>TEXTJOIN(CHAR(10);TRUE;TEXT(Calendario!A29,"DD"),IF(Calendario!C29="";"🟢 SUSANNA";""),IF(Calendario!C29="CL";"🟤 SUSANNA(CL)";""),IF(Calendario!C29="FV";"🟡 SUSANNA(FV)";""),IF(Calendario!C29="TM";"🔵 SUSANNA(TM)";""),IF(Calendario!C29="TN";"🟣 SUSANNA(TN)";""),IF(Calendario!C29="TT";"🟠 SUSANNA(TT)";""),IF(Calendario!D29="";"🟢 ZUA";""),IF(Calendario!D29="CL";"🟤 ZUA(CL)";""),IF(Calendario!D29="FV";"🟡 ZUA(FV)";""),IF(Calendario!D29="TM";"🔵 ZUA(TM)";""),IF(Calendario!D29="TN";"🟣 ZUA(TN)";""),IF(Calendario!D29="TT";"🟠 ZUA(TT)";""),IF(Calendario!E29="";"🟢 PEPE";""),IF(Calendario!E29="CL";"🟤 PEPE(CL)";""),IF(Calendario!E29="FV";"🟡 PEPE(FV)";""),IF(Calendario!E29="TM";"🔵 PEPE(TM)";""),IF(Calendario!E29="TN";"🟣 PEPE(TN)";""),IF(Calendario!E29="TT";"🟠 PEPE(TT)";""),IF(Calendario!F29="";"🟢 ANTO";""),IF(Calendario!F29="CL";"🟤 ANTO(CL)";""),IF(Calendario!F29="FV";"🟡 ANTO(FV)";""),IF(Calendario!F29="TM";"🔵 ANTO(TM)";""),IF(Calendario!F29="TN";"🟣 ANTO(TN)";""),IF(Calendario!F29="TT";"🟠 ANTO(TT)";""),IF(Calendario!G29="";"🟢 ELIAS";""),IF(Calendario!G29="CL";"🟤 ELIAS(CL)";""),IF(Calendario!G29="FV";"🟡 ELIAS(FV)";""),IF(Calendario!G29="TM";"🔵 ELIAS(TM)";""),IF(Calendario!G29="TN";"🟣 ELIAS(TN)";""),IF(Calendario!G29="TT";"🟠 ELIAS(TT)";""),IF(Calendario!H29="";"🟢 CRIS";""),IF(Calendario!H29="CL";"🟤 CRIS(CL)";""),IF(Calendario!H29="FV";"🟡 CRIS(FV)";""),IF(Calendario!H29="TM";"🔵 CRIS(TM)";""),IF(Calendario!H29="TN";"🟣 CRIS(TN)";""),IF(Calendario!H29="TT";"🟠 CRIS(TT)";""))</f>
        <v/>
      </c>
      <c r="B7" s="47">
        <f>TEXTJOIN(CHAR(10);TRUE;TEXT(Calendario!A30,"DD"),IF(Calendario!C30="";"🟢 SUSANNA";""),IF(Calendario!C30="CL";"🟤 SUSANNA(CL)";""),IF(Calendario!C30="FV";"🟡 SUSANNA(FV)";""),IF(Calendario!C30="TM";"🔵 SUSANNA(TM)";""),IF(Calendario!C30="TN";"🟣 SUSANNA(TN)";""),IF(Calendario!C30="TT";"🟠 SUSANNA(TT)";""),IF(Calendario!D30="";"🟢 ZUA";""),IF(Calendario!D30="CL";"🟤 ZUA(CL)";""),IF(Calendario!D30="FV";"🟡 ZUA(FV)";""),IF(Calendario!D30="TM";"🔵 ZUA(TM)";""),IF(Calendario!D30="TN";"🟣 ZUA(TN)";""),IF(Calendario!D30="TT";"🟠 ZUA(TT)";""),IF(Calendario!E30="";"🟢 PEPE";""),IF(Calendario!E30="CL";"🟤 PEPE(CL)";""),IF(Calendario!E30="FV";"🟡 PEPE(FV)";""),IF(Calendario!E30="TM";"🔵 PEPE(TM)";""),IF(Calendario!E30="TN";"🟣 PEPE(TN)";""),IF(Calendario!E30="TT";"🟠 PEPE(TT)";""),IF(Calendario!F30="";"🟢 ANTO";""),IF(Calendario!F30="CL";"🟤 ANTO(CL)";""),IF(Calendario!F30="FV";"🟡 ANTO(FV)";""),IF(Calendario!F30="TM";"🔵 ANTO(TM)";""),IF(Calendario!F30="TN";"🟣 ANTO(TN)";""),IF(Calendario!F30="TT";"🟠 ANTO(TT)";""),IF(Calendario!G30="";"🟢 ELIAS";""),IF(Calendario!G30="CL";"🟤 ELIAS(CL)";""),IF(Calendario!G30="FV";"🟡 ELIAS(FV)";""),IF(Calendario!G30="TM";"🔵 ELIAS(TM)";""),IF(Calendario!G30="TN";"🟣 ELIAS(TN)";""),IF(Calendario!G30="TT";"🟠 ELIAS(TT)";""),IF(Calendario!H30="";"🟢 CRIS";""),IF(Calendario!H30="CL";"🟤 CRIS(CL)";""),IF(Calendario!H30="FV";"🟡 CRIS(FV)";""),IF(Calendario!H30="TM";"🔵 CRIS(TM)";""),IF(Calendario!H30="TN";"🟣 CRIS(TN)";""),IF(Calendario!H30="TT";"🟠 CRIS(TT)";""))</f>
        <v/>
      </c>
      <c r="C7" s="47">
        <f>TEXTJOIN(CHAR(10);TRUE;TEXT(Calendario!A31,"DD"),IF(Calendario!C31="";"🟢 SUSANNA";""),IF(Calendario!C31="CL";"🟤 SUSANNA(CL)";""),IF(Calendario!C31="FV";"🟡 SUSANNA(FV)";""),IF(Calendario!C31="TM";"🔵 SUSANNA(TM)";""),IF(Calendario!C31="TN";"🟣 SUSANNA(TN)";""),IF(Calendario!C31="TT";"🟠 SUSANNA(TT)";""),IF(Calendario!D31="";"🟢 ZUA";""),IF(Calendario!D31="CL";"🟤 ZUA(CL)";""),IF(Calendario!D31="FV";"🟡 ZUA(FV)";""),IF(Calendario!D31="TM";"🔵 ZUA(TM)";""),IF(Calendario!D31="TN";"🟣 ZUA(TN)";""),IF(Calendario!D31="TT";"🟠 ZUA(TT)";""),IF(Calendario!E31="";"🟢 PEPE";""),IF(Calendario!E31="CL";"🟤 PEPE(CL)";""),IF(Calendario!E31="FV";"🟡 PEPE(FV)";""),IF(Calendario!E31="TM";"🔵 PEPE(TM)";""),IF(Calendario!E31="TN";"🟣 PEPE(TN)";""),IF(Calendario!E31="TT";"🟠 PEPE(TT)";""),IF(Calendario!F31="";"🟢 ANTO";""),IF(Calendario!F31="CL";"🟤 ANTO(CL)";""),IF(Calendario!F31="FV";"🟡 ANTO(FV)";""),IF(Calendario!F31="TM";"🔵 ANTO(TM)";""),IF(Calendario!F31="TN";"🟣 ANTO(TN)";""),IF(Calendario!F31="TT";"🟠 ANTO(TT)";""),IF(Calendario!G31="";"🟢 ELIAS";""),IF(Calendario!G31="CL";"🟤 ELIAS(CL)";""),IF(Calendario!G31="FV";"🟡 ELIAS(FV)";""),IF(Calendario!G31="TM";"🔵 ELIAS(TM)";""),IF(Calendario!G31="TN";"🟣 ELIAS(TN)";""),IF(Calendario!G31="TT";"🟠 ELIAS(TT)";""),IF(Calendario!H31="";"🟢 CRIS";""),IF(Calendario!H31="CL";"🟤 CRIS(CL)";""),IF(Calendario!H31="FV";"🟡 CRIS(FV)";""),IF(Calendario!H31="TM";"🔵 CRIS(TM)";""),IF(Calendario!H31="TN";"🟣 CRIS(TN)";""),IF(Calendario!H31="TT";"🟠 CRIS(TT)";""))</f>
        <v/>
      </c>
      <c r="D7" s="47">
        <f>TEXTJOIN(CHAR(10);TRUE;TEXT(Calendario!A32,"DD"),IF(Calendario!C32="";"🟢 SUSANNA";""),IF(Calendario!C32="CL";"🟤 SUSANNA(CL)";""),IF(Calendario!C32="FV";"🟡 SUSANNA(FV)";""),IF(Calendario!C32="TM";"🔵 SUSANNA(TM)";""),IF(Calendario!C32="TN";"🟣 SUSANNA(TN)";""),IF(Calendario!C32="TT";"🟠 SUSANNA(TT)";""),IF(Calendario!D32="";"🟢 ZUA";""),IF(Calendario!D32="CL";"🟤 ZUA(CL)";""),IF(Calendario!D32="FV";"🟡 ZUA(FV)";""),IF(Calendario!D32="TM";"🔵 ZUA(TM)";""),IF(Calendario!D32="TN";"🟣 ZUA(TN)";""),IF(Calendario!D32="TT";"🟠 ZUA(TT)";""),IF(Calendario!E32="";"🟢 PEPE";""),IF(Calendario!E32="CL";"🟤 PEPE(CL)";""),IF(Calendario!E32="FV";"🟡 PEPE(FV)";""),IF(Calendario!E32="TM";"🔵 PEPE(TM)";""),IF(Calendario!E32="TN";"🟣 PEPE(TN)";""),IF(Calendario!E32="TT";"🟠 PEPE(TT)";""),IF(Calendario!F32="";"🟢 ANTO";""),IF(Calendario!F32="CL";"🟤 ANTO(CL)";""),IF(Calendario!F32="FV";"🟡 ANTO(FV)";""),IF(Calendario!F32="TM";"🔵 ANTO(TM)";""),IF(Calendario!F32="TN";"🟣 ANTO(TN)";""),IF(Calendario!F32="TT";"🟠 ANTO(TT)";""),IF(Calendario!G32="";"🟢 ELIAS";""),IF(Calendario!G32="CL";"🟤 ELIAS(CL)";""),IF(Calendario!G32="FV";"🟡 ELIAS(FV)";""),IF(Calendario!G32="TM";"🔵 ELIAS(TM)";""),IF(Calendario!G32="TN";"🟣 ELIAS(TN)";""),IF(Calendario!G32="TT";"🟠 ELIAS(TT)";""),IF(Calendario!H32="";"🟢 CRIS";""),IF(Calendario!H32="CL";"🟤 CRIS(CL)";""),IF(Calendario!H32="FV";"🟡 CRIS(FV)";""),IF(Calendario!H32="TM";"🔵 CRIS(TM)";""),IF(Calendario!H32="TN";"🟣 CRIS(TN)";""),IF(Calendario!H32="TT";"🟠 CRIS(TT)";""))</f>
        <v/>
      </c>
      <c r="E7" s="47">
        <f>TEXTJOIN(CHAR(10);TRUE;TEXT(Calendario!A33,"DD"),IF(Calendario!C33="";"🟢 SUSANNA";""),IF(Calendario!C33="CL";"🟤 SUSANNA(CL)";""),IF(Calendario!C33="FV";"🟡 SUSANNA(FV)";""),IF(Calendario!C33="TM";"🔵 SUSANNA(TM)";""),IF(Calendario!C33="TN";"🟣 SUSANNA(TN)";""),IF(Calendario!C33="TT";"🟠 SUSANNA(TT)";""),IF(Calendario!D33="";"🟢 ZUA";""),IF(Calendario!D33="CL";"🟤 ZUA(CL)";""),IF(Calendario!D33="FV";"🟡 ZUA(FV)";""),IF(Calendario!D33="TM";"🔵 ZUA(TM)";""),IF(Calendario!D33="TN";"🟣 ZUA(TN)";""),IF(Calendario!D33="TT";"🟠 ZUA(TT)";""),IF(Calendario!E33="";"🟢 PEPE";""),IF(Calendario!E33="CL";"🟤 PEPE(CL)";""),IF(Calendario!E33="FV";"🟡 PEPE(FV)";""),IF(Calendario!E33="TM";"🔵 PEPE(TM)";""),IF(Calendario!E33="TN";"🟣 PEPE(TN)";""),IF(Calendario!E33="TT";"🟠 PEPE(TT)";""),IF(Calendario!F33="";"🟢 ANTO";""),IF(Calendario!F33="CL";"🟤 ANTO(CL)";""),IF(Calendario!F33="FV";"🟡 ANTO(FV)";""),IF(Calendario!F33="TM";"🔵 ANTO(TM)";""),IF(Calendario!F33="TN";"🟣 ANTO(TN)";""),IF(Calendario!F33="TT";"🟠 ANTO(TT)";""),IF(Calendario!G33="";"🟢 ELIAS";""),IF(Calendario!G33="CL";"🟤 ELIAS(CL)";""),IF(Calendario!G33="FV";"🟡 ELIAS(FV)";""),IF(Calendario!G33="TM";"🔵 ELIAS(TM)";""),IF(Calendario!G33="TN";"🟣 ELIAS(TN)";""),IF(Calendario!G33="TT";"🟠 ELIAS(TT)";""),IF(Calendario!H33="";"🟢 CRIS";""),IF(Calendario!H33="CL";"🟤 CRIS(CL)";""),IF(Calendario!H33="FV";"🟡 CRIS(FV)";""),IF(Calendario!H33="TM";"🔵 CRIS(TM)";""),IF(Calendario!H33="TN";"🟣 CRIS(TN)";""),IF(Calendario!H33="TT";"🟠 CRIS(TT)";""))</f>
        <v/>
      </c>
      <c r="F7" s="46" t="n"/>
      <c r="G7" s="46" t="n"/>
    </row>
    <row r="8" ht="130" customHeight="1">
      <c r="A8" s="46" t="n"/>
      <c r="B8" s="46" t="n"/>
      <c r="C8" s="46" t="n"/>
      <c r="D8" s="46" t="n"/>
      <c r="E8" s="46" t="n"/>
      <c r="F8" s="46" t="n"/>
      <c r="G8" s="46" t="n"/>
    </row>
    <row r="10" ht="32" customHeight="1">
      <c r="A10" s="49" t="inlineStr">
        <is>
          <t xml:space="preserve">  AGOSTO 2026</t>
        </is>
      </c>
      <c r="B10" s="3" t="n"/>
      <c r="C10" s="3" t="n"/>
      <c r="D10" s="3" t="n"/>
      <c r="E10" s="3" t="n"/>
      <c r="F10" s="3" t="n"/>
      <c r="G10" s="3" t="n"/>
    </row>
    <row r="11" ht="26" customHeight="1">
      <c r="A11" s="45" t="inlineStr">
        <is>
          <t>Lun</t>
        </is>
      </c>
      <c r="B11" s="45" t="inlineStr">
        <is>
          <t>Mar</t>
        </is>
      </c>
      <c r="C11" s="45" t="inlineStr">
        <is>
          <t>Mie</t>
        </is>
      </c>
      <c r="D11" s="45" t="inlineStr">
        <is>
          <t>Jue</t>
        </is>
      </c>
      <c r="E11" s="45" t="inlineStr">
        <is>
          <t>Vie</t>
        </is>
      </c>
      <c r="F11" s="45" t="inlineStr">
        <is>
          <t>Sab</t>
        </is>
      </c>
      <c r="G11" s="45" t="inlineStr">
        <is>
          <t>Dom</t>
        </is>
      </c>
    </row>
    <row r="12" ht="130" customHeight="1">
      <c r="A12" s="46" t="n"/>
      <c r="B12" s="46" t="n"/>
      <c r="C12" s="46" t="n"/>
      <c r="D12" s="46" t="n"/>
      <c r="E12" s="46" t="n"/>
      <c r="F12" s="48">
        <f>TEXTJOIN(CHAR(10);TRUE;TEXT(Calendario!A35,"DD"),IF(Calendario!C35="";"🟢 SUSANNA";""),IF(Calendario!C35="CL";"🟤 SUSANNA(CL)";""),IF(Calendario!C35="FV";"🟡 SUSANNA(FV)";""),IF(Calendario!C35="TM";"🔵 SUSANNA(TM)";""),IF(Calendario!C35="TN";"🟣 SUSANNA(TN)";""),IF(Calendario!C35="TT";"🟠 SUSANNA(TT)";""),IF(Calendario!D35="";"🟢 ZUA";""),IF(Calendario!D35="CL";"🟤 ZUA(CL)";""),IF(Calendario!D35="FV";"🟡 ZUA(FV)";""),IF(Calendario!D35="TM";"🔵 ZUA(TM)";""),IF(Calendario!D35="TN";"🟣 ZUA(TN)";""),IF(Calendario!D35="TT";"🟠 ZUA(TT)";""),IF(Calendario!E35="";"🟢 PEPE";""),IF(Calendario!E35="CL";"🟤 PEPE(CL)";""),IF(Calendario!E35="FV";"🟡 PEPE(FV)";""),IF(Calendario!E35="TM";"🔵 PEPE(TM)";""),IF(Calendario!E35="TN";"🟣 PEPE(TN)";""),IF(Calendario!E35="TT";"🟠 PEPE(TT)";""),IF(Calendario!F35="";"🟢 ANTO";""),IF(Calendario!F35="CL";"🟤 ANTO(CL)";""),IF(Calendario!F35="FV";"🟡 ANTO(FV)";""),IF(Calendario!F35="TM";"🔵 ANTO(TM)";""),IF(Calendario!F35="TN";"🟣 ANTO(TN)";""),IF(Calendario!F35="TT";"🟠 ANTO(TT)";""),IF(Calendario!G35="";"🟢 ELIAS";""),IF(Calendario!G35="CL";"🟤 ELIAS(CL)";""),IF(Calendario!G35="FV";"🟡 ELIAS(FV)";""),IF(Calendario!G35="TM";"🔵 ELIAS(TM)";""),IF(Calendario!G35="TN";"🟣 ELIAS(TN)";""),IF(Calendario!G35="TT";"🟠 ELIAS(TT)";""),IF(Calendario!H35="";"🟢 CRIS";""),IF(Calendario!H35="CL";"🟤 CRIS(CL)";""),IF(Calendario!H35="FV";"🟡 CRIS(FV)";""),IF(Calendario!H35="TM";"🔵 CRIS(TM)";""),IF(Calendario!H35="TN";"🟣 CRIS(TN)";""),IF(Calendario!H35="TT";"🟠 CRIS(TT)";""))</f>
        <v/>
      </c>
      <c r="G12" s="48">
        <f>TEXTJOIN(CHAR(10);TRUE;TEXT(Calendario!A36,"DD"),IF(Calendario!C36="";"🟢 SUSANNA";""),IF(Calendario!C36="CL";"🟤 SUSANNA(CL)";""),IF(Calendario!C36="FV";"🟡 SUSANNA(FV)";""),IF(Calendario!C36="TM";"🔵 SUSANNA(TM)";""),IF(Calendario!C36="TN";"🟣 SUSANNA(TN)";""),IF(Calendario!C36="TT";"🟠 SUSANNA(TT)";""),IF(Calendario!D36="";"🟢 ZUA";""),IF(Calendario!D36="CL";"🟤 ZUA(CL)";""),IF(Calendario!D36="FV";"🟡 ZUA(FV)";""),IF(Calendario!D36="TM";"🔵 ZUA(TM)";""),IF(Calendario!D36="TN";"🟣 ZUA(TN)";""),IF(Calendario!D36="TT";"🟠 ZUA(TT)";""),IF(Calendario!E36="";"🟢 PEPE";""),IF(Calendario!E36="CL";"🟤 PEPE(CL)";""),IF(Calendario!E36="FV";"🟡 PEPE(FV)";""),IF(Calendario!E36="TM";"🔵 PEPE(TM)";""),IF(Calendario!E36="TN";"🟣 PEPE(TN)";""),IF(Calendario!E36="TT";"🟠 PEPE(TT)";""),IF(Calendario!F36="";"🟢 ANTO";""),IF(Calendario!F36="CL";"🟤 ANTO(CL)";""),IF(Calendario!F36="FV";"🟡 ANTO(FV)";""),IF(Calendario!F36="TM";"🔵 ANTO(TM)";""),IF(Calendario!F36="TN";"🟣 ANTO(TN)";""),IF(Calendario!F36="TT";"🟠 ANTO(TT)";""),IF(Calendario!G36="";"🟢 ELIAS";""),IF(Calendario!G36="CL";"🟤 ELIAS(CL)";""),IF(Calendario!G36="FV";"🟡 ELIAS(FV)";""),IF(Calendario!G36="TM";"🔵 ELIAS(TM)";""),IF(Calendario!G36="TN";"🟣 ELIAS(TN)";""),IF(Calendario!G36="TT";"🟠 ELIAS(TT)";""),IF(Calendario!H36="";"🟢 CRIS";""),IF(Calendario!H36="CL";"🟤 CRIS(CL)";""),IF(Calendario!H36="FV";"🟡 CRIS(FV)";""),IF(Calendario!H36="TM";"🔵 CRIS(TM)";""),IF(Calendario!H36="TN";"🟣 CRIS(TN)";""),IF(Calendario!H36="TT";"🟠 CRIS(TT)";""))</f>
        <v/>
      </c>
    </row>
    <row r="13" ht="130" customHeight="1">
      <c r="A13" s="47">
        <f>TEXTJOIN(CHAR(10);TRUE;TEXT(Calendario!A37,"DD"),IF(Calendario!C37="";"🟢 SUSANNA";""),IF(Calendario!C37="CL";"🟤 SUSANNA(CL)";""),IF(Calendario!C37="FV";"🟡 SUSANNA(FV)";""),IF(Calendario!C37="TM";"🔵 SUSANNA(TM)";""),IF(Calendario!C37="TN";"🟣 SUSANNA(TN)";""),IF(Calendario!C37="TT";"🟠 SUSANNA(TT)";""),IF(Calendario!D37="";"🟢 ZUA";""),IF(Calendario!D37="CL";"🟤 ZUA(CL)";""),IF(Calendario!D37="FV";"🟡 ZUA(FV)";""),IF(Calendario!D37="TM";"🔵 ZUA(TM)";""),IF(Calendario!D37="TN";"🟣 ZUA(TN)";""),IF(Calendario!D37="TT";"🟠 ZUA(TT)";""),IF(Calendario!E37="";"🟢 PEPE";""),IF(Calendario!E37="CL";"🟤 PEPE(CL)";""),IF(Calendario!E37="FV";"🟡 PEPE(FV)";""),IF(Calendario!E37="TM";"🔵 PEPE(TM)";""),IF(Calendario!E37="TN";"🟣 PEPE(TN)";""),IF(Calendario!E37="TT";"🟠 PEPE(TT)";""),IF(Calendario!F37="";"🟢 ANTO";""),IF(Calendario!F37="CL";"🟤 ANTO(CL)";""),IF(Calendario!F37="FV";"🟡 ANTO(FV)";""),IF(Calendario!F37="TM";"🔵 ANTO(TM)";""),IF(Calendario!F37="TN";"🟣 ANTO(TN)";""),IF(Calendario!F37="TT";"🟠 ANTO(TT)";""),IF(Calendario!G37="";"🟢 ELIAS";""),IF(Calendario!G37="CL";"🟤 ELIAS(CL)";""),IF(Calendario!G37="FV";"🟡 ELIAS(FV)";""),IF(Calendario!G37="TM";"🔵 ELIAS(TM)";""),IF(Calendario!G37="TN";"🟣 ELIAS(TN)";""),IF(Calendario!G37="TT";"🟠 ELIAS(TT)";""),IF(Calendario!H37="";"🟢 CRIS";""),IF(Calendario!H37="CL";"🟤 CRIS(CL)";""),IF(Calendario!H37="FV";"🟡 CRIS(FV)";""),IF(Calendario!H37="TM";"🔵 CRIS(TM)";""),IF(Calendario!H37="TN";"🟣 CRIS(TN)";""),IF(Calendario!H37="TT";"🟠 CRIS(TT)";""))</f>
        <v/>
      </c>
      <c r="B13" s="47">
        <f>TEXTJOIN(CHAR(10);TRUE;TEXT(Calendario!A38,"DD"),IF(Calendario!C38="";"🟢 SUSANNA";""),IF(Calendario!C38="CL";"🟤 SUSANNA(CL)";""),IF(Calendario!C38="FV";"🟡 SUSANNA(FV)";""),IF(Calendario!C38="TM";"🔵 SUSANNA(TM)";""),IF(Calendario!C38="TN";"🟣 SUSANNA(TN)";""),IF(Calendario!C38="TT";"🟠 SUSANNA(TT)";""),IF(Calendario!D38="";"🟢 ZUA";""),IF(Calendario!D38="CL";"🟤 ZUA(CL)";""),IF(Calendario!D38="FV";"🟡 ZUA(FV)";""),IF(Calendario!D38="TM";"🔵 ZUA(TM)";""),IF(Calendario!D38="TN";"🟣 ZUA(TN)";""),IF(Calendario!D38="TT";"🟠 ZUA(TT)";""),IF(Calendario!E38="";"🟢 PEPE";""),IF(Calendario!E38="CL";"🟤 PEPE(CL)";""),IF(Calendario!E38="FV";"🟡 PEPE(FV)";""),IF(Calendario!E38="TM";"🔵 PEPE(TM)";""),IF(Calendario!E38="TN";"🟣 PEPE(TN)";""),IF(Calendario!E38="TT";"🟠 PEPE(TT)";""),IF(Calendario!F38="";"🟢 ANTO";""),IF(Calendario!F38="CL";"🟤 ANTO(CL)";""),IF(Calendario!F38="FV";"🟡 ANTO(FV)";""),IF(Calendario!F38="TM";"🔵 ANTO(TM)";""),IF(Calendario!F38="TN";"🟣 ANTO(TN)";""),IF(Calendario!F38="TT";"🟠 ANTO(TT)";""),IF(Calendario!G38="";"🟢 ELIAS";""),IF(Calendario!G38="CL";"🟤 ELIAS(CL)";""),IF(Calendario!G38="FV";"🟡 ELIAS(FV)";""),IF(Calendario!G38="TM";"🔵 ELIAS(TM)";""),IF(Calendario!G38="TN";"🟣 ELIAS(TN)";""),IF(Calendario!G38="TT";"🟠 ELIAS(TT)";""),IF(Calendario!H38="";"🟢 CRIS";""),IF(Calendario!H38="CL";"🟤 CRIS(CL)";""),IF(Calendario!H38="FV";"🟡 CRIS(FV)";""),IF(Calendario!H38="TM";"🔵 CRIS(TM)";""),IF(Calendario!H38="TN";"🟣 CRIS(TN)";""),IF(Calendario!H38="TT";"🟠 CRIS(TT)";""))</f>
        <v/>
      </c>
      <c r="C13" s="47">
        <f>TEXTJOIN(CHAR(10);TRUE;TEXT(Calendario!A39,"DD"),IF(Calendario!C39="";"🟢 SUSANNA";""),IF(Calendario!C39="CL";"🟤 SUSANNA(CL)";""),IF(Calendario!C39="FV";"🟡 SUSANNA(FV)";""),IF(Calendario!C39="TM";"🔵 SUSANNA(TM)";""),IF(Calendario!C39="TN";"🟣 SUSANNA(TN)";""),IF(Calendario!C39="TT";"🟠 SUSANNA(TT)";""),IF(Calendario!D39="";"🟢 ZUA";""),IF(Calendario!D39="CL";"🟤 ZUA(CL)";""),IF(Calendario!D39="FV";"🟡 ZUA(FV)";""),IF(Calendario!D39="TM";"🔵 ZUA(TM)";""),IF(Calendario!D39="TN";"🟣 ZUA(TN)";""),IF(Calendario!D39="TT";"🟠 ZUA(TT)";""),IF(Calendario!E39="";"🟢 PEPE";""),IF(Calendario!E39="CL";"🟤 PEPE(CL)";""),IF(Calendario!E39="FV";"🟡 PEPE(FV)";""),IF(Calendario!E39="TM";"🔵 PEPE(TM)";""),IF(Calendario!E39="TN";"🟣 PEPE(TN)";""),IF(Calendario!E39="TT";"🟠 PEPE(TT)";""),IF(Calendario!F39="";"🟢 ANTO";""),IF(Calendario!F39="CL";"🟤 ANTO(CL)";""),IF(Calendario!F39="FV";"🟡 ANTO(FV)";""),IF(Calendario!F39="TM";"🔵 ANTO(TM)";""),IF(Calendario!F39="TN";"🟣 ANTO(TN)";""),IF(Calendario!F39="TT";"🟠 ANTO(TT)";""),IF(Calendario!G39="";"🟢 ELIAS";""),IF(Calendario!G39="CL";"🟤 ELIAS(CL)";""),IF(Calendario!G39="FV";"🟡 ELIAS(FV)";""),IF(Calendario!G39="TM";"🔵 ELIAS(TM)";""),IF(Calendario!G39="TN";"🟣 ELIAS(TN)";""),IF(Calendario!G39="TT";"🟠 ELIAS(TT)";""),IF(Calendario!H39="";"🟢 CRIS";""),IF(Calendario!H39="CL";"🟤 CRIS(CL)";""),IF(Calendario!H39="FV";"🟡 CRIS(FV)";""),IF(Calendario!H39="TM";"🔵 CRIS(TM)";""),IF(Calendario!H39="TN";"🟣 CRIS(TN)";""),IF(Calendario!H39="TT";"🟠 CRIS(TT)";""))</f>
        <v/>
      </c>
      <c r="D13" s="47">
        <f>TEXTJOIN(CHAR(10);TRUE;TEXT(Calendario!A40,"DD"),IF(Calendario!C40="";"🟢 SUSANNA";""),IF(Calendario!C40="CL";"🟤 SUSANNA(CL)";""),IF(Calendario!C40="FV";"🟡 SUSANNA(FV)";""),IF(Calendario!C40="TM";"🔵 SUSANNA(TM)";""),IF(Calendario!C40="TN";"🟣 SUSANNA(TN)";""),IF(Calendario!C40="TT";"🟠 SUSANNA(TT)";""),IF(Calendario!D40="";"🟢 ZUA";""),IF(Calendario!D40="CL";"🟤 ZUA(CL)";""),IF(Calendario!D40="FV";"🟡 ZUA(FV)";""),IF(Calendario!D40="TM";"🔵 ZUA(TM)";""),IF(Calendario!D40="TN";"🟣 ZUA(TN)";""),IF(Calendario!D40="TT";"🟠 ZUA(TT)";""),IF(Calendario!E40="";"🟢 PEPE";""),IF(Calendario!E40="CL";"🟤 PEPE(CL)";""),IF(Calendario!E40="FV";"🟡 PEPE(FV)";""),IF(Calendario!E40="TM";"🔵 PEPE(TM)";""),IF(Calendario!E40="TN";"🟣 PEPE(TN)";""),IF(Calendario!E40="TT";"🟠 PEPE(TT)";""),IF(Calendario!F40="";"🟢 ANTO";""),IF(Calendario!F40="CL";"🟤 ANTO(CL)";""),IF(Calendario!F40="FV";"🟡 ANTO(FV)";""),IF(Calendario!F40="TM";"🔵 ANTO(TM)";""),IF(Calendario!F40="TN";"🟣 ANTO(TN)";""),IF(Calendario!F40="TT";"🟠 ANTO(TT)";""),IF(Calendario!G40="";"🟢 ELIAS";""),IF(Calendario!G40="CL";"🟤 ELIAS(CL)";""),IF(Calendario!G40="FV";"🟡 ELIAS(FV)";""),IF(Calendario!G40="TM";"🔵 ELIAS(TM)";""),IF(Calendario!G40="TN";"🟣 ELIAS(TN)";""),IF(Calendario!G40="TT";"🟠 ELIAS(TT)";""),IF(Calendario!H40="";"🟢 CRIS";""),IF(Calendario!H40="CL";"🟤 CRIS(CL)";""),IF(Calendario!H40="FV";"🟡 CRIS(FV)";""),IF(Calendario!H40="TM";"🔵 CRIS(TM)";""),IF(Calendario!H40="TN";"🟣 CRIS(TN)";""),IF(Calendario!H40="TT";"🟠 CRIS(TT)";""))</f>
        <v/>
      </c>
      <c r="E13" s="47">
        <f>TEXTJOIN(CHAR(10);TRUE;TEXT(Calendario!A41,"DD"),IF(Calendario!C41="";"🟢 SUSANNA";""),IF(Calendario!C41="CL";"🟤 SUSANNA(CL)";""),IF(Calendario!C41="FV";"🟡 SUSANNA(FV)";""),IF(Calendario!C41="TM";"🔵 SUSANNA(TM)";""),IF(Calendario!C41="TN";"🟣 SUSANNA(TN)";""),IF(Calendario!C41="TT";"🟠 SUSANNA(TT)";""),IF(Calendario!D41="";"🟢 ZUA";""),IF(Calendario!D41="CL";"🟤 ZUA(CL)";""),IF(Calendario!D41="FV";"🟡 ZUA(FV)";""),IF(Calendario!D41="TM";"🔵 ZUA(TM)";""),IF(Calendario!D41="TN";"🟣 ZUA(TN)";""),IF(Calendario!D41="TT";"🟠 ZUA(TT)";""),IF(Calendario!E41="";"🟢 PEPE";""),IF(Calendario!E41="CL";"🟤 PEPE(CL)";""),IF(Calendario!E41="FV";"🟡 PEPE(FV)";""),IF(Calendario!E41="TM";"🔵 PEPE(TM)";""),IF(Calendario!E41="TN";"🟣 PEPE(TN)";""),IF(Calendario!E41="TT";"🟠 PEPE(TT)";""),IF(Calendario!F41="";"🟢 ANTO";""),IF(Calendario!F41="CL";"🟤 ANTO(CL)";""),IF(Calendario!F41="FV";"🟡 ANTO(FV)";""),IF(Calendario!F41="TM";"🔵 ANTO(TM)";""),IF(Calendario!F41="TN";"🟣 ANTO(TN)";""),IF(Calendario!F41="TT";"🟠 ANTO(TT)";""),IF(Calendario!G41="";"🟢 ELIAS";""),IF(Calendario!G41="CL";"🟤 ELIAS(CL)";""),IF(Calendario!G41="FV";"🟡 ELIAS(FV)";""),IF(Calendario!G41="TM";"🔵 ELIAS(TM)";""),IF(Calendario!G41="TN";"🟣 ELIAS(TN)";""),IF(Calendario!G41="TT";"🟠 ELIAS(TT)";""),IF(Calendario!H41="";"🟢 CRIS";""),IF(Calendario!H41="CL";"🟤 CRIS(CL)";""),IF(Calendario!H41="FV";"🟡 CRIS(FV)";""),IF(Calendario!H41="TM";"🔵 CRIS(TM)";""),IF(Calendario!H41="TN";"🟣 CRIS(TN)";""),IF(Calendario!H41="TT";"🟠 CRIS(TT)";""))</f>
        <v/>
      </c>
      <c r="F13" s="48">
        <f>TEXTJOIN(CHAR(10);TRUE;TEXT(Calendario!A42,"DD"),IF(Calendario!C42="";"🟢 SUSANNA";""),IF(Calendario!C42="CL";"🟤 SUSANNA(CL)";""),IF(Calendario!C42="FV";"🟡 SUSANNA(FV)";""),IF(Calendario!C42="TM";"🔵 SUSANNA(TM)";""),IF(Calendario!C42="TN";"🟣 SUSANNA(TN)";""),IF(Calendario!C42="TT";"🟠 SUSANNA(TT)";""),IF(Calendario!D42="";"🟢 ZUA";""),IF(Calendario!D42="CL";"🟤 ZUA(CL)";""),IF(Calendario!D42="FV";"🟡 ZUA(FV)";""),IF(Calendario!D42="TM";"🔵 ZUA(TM)";""),IF(Calendario!D42="TN";"🟣 ZUA(TN)";""),IF(Calendario!D42="TT";"🟠 ZUA(TT)";""),IF(Calendario!E42="";"🟢 PEPE";""),IF(Calendario!E42="CL";"🟤 PEPE(CL)";""),IF(Calendario!E42="FV";"🟡 PEPE(FV)";""),IF(Calendario!E42="TM";"🔵 PEPE(TM)";""),IF(Calendario!E42="TN";"🟣 PEPE(TN)";""),IF(Calendario!E42="TT";"🟠 PEPE(TT)";""),IF(Calendario!F42="";"🟢 ANTO";""),IF(Calendario!F42="CL";"🟤 ANTO(CL)";""),IF(Calendario!F42="FV";"🟡 ANTO(FV)";""),IF(Calendario!F42="TM";"🔵 ANTO(TM)";""),IF(Calendario!F42="TN";"🟣 ANTO(TN)";""),IF(Calendario!F42="TT";"🟠 ANTO(TT)";""),IF(Calendario!G42="";"🟢 ELIAS";""),IF(Calendario!G42="CL";"🟤 ELIAS(CL)";""),IF(Calendario!G42="FV";"🟡 ELIAS(FV)";""),IF(Calendario!G42="TM";"🔵 ELIAS(TM)";""),IF(Calendario!G42="TN";"🟣 ELIAS(TN)";""),IF(Calendario!G42="TT";"🟠 ELIAS(TT)";""),IF(Calendario!H42="";"🟢 CRIS";""),IF(Calendario!H42="CL";"🟤 CRIS(CL)";""),IF(Calendario!H42="FV";"🟡 CRIS(FV)";""),IF(Calendario!H42="TM";"🔵 CRIS(TM)";""),IF(Calendario!H42="TN";"🟣 CRIS(TN)";""),IF(Calendario!H42="TT";"🟠 CRIS(TT)";""))</f>
        <v/>
      </c>
      <c r="G13" s="48">
        <f>TEXTJOIN(CHAR(10);TRUE;TEXT(Calendario!A43,"DD"),IF(Calendario!C43="";"🟢 SUSANNA";""),IF(Calendario!C43="CL";"🟤 SUSANNA(CL)";""),IF(Calendario!C43="FV";"🟡 SUSANNA(FV)";""),IF(Calendario!C43="TM";"🔵 SUSANNA(TM)";""),IF(Calendario!C43="TN";"🟣 SUSANNA(TN)";""),IF(Calendario!C43="TT";"🟠 SUSANNA(TT)";""),IF(Calendario!D43="";"🟢 ZUA";""),IF(Calendario!D43="CL";"🟤 ZUA(CL)";""),IF(Calendario!D43="FV";"🟡 ZUA(FV)";""),IF(Calendario!D43="TM";"🔵 ZUA(TM)";""),IF(Calendario!D43="TN";"🟣 ZUA(TN)";""),IF(Calendario!D43="TT";"🟠 ZUA(TT)";""),IF(Calendario!E43="";"🟢 PEPE";""),IF(Calendario!E43="CL";"🟤 PEPE(CL)";""),IF(Calendario!E43="FV";"🟡 PEPE(FV)";""),IF(Calendario!E43="TM";"🔵 PEPE(TM)";""),IF(Calendario!E43="TN";"🟣 PEPE(TN)";""),IF(Calendario!E43="TT";"🟠 PEPE(TT)";""),IF(Calendario!F43="";"🟢 ANTO";""),IF(Calendario!F43="CL";"🟤 ANTO(CL)";""),IF(Calendario!F43="FV";"🟡 ANTO(FV)";""),IF(Calendario!F43="TM";"🔵 ANTO(TM)";""),IF(Calendario!F43="TN";"🟣 ANTO(TN)";""),IF(Calendario!F43="TT";"🟠 ANTO(TT)";""),IF(Calendario!G43="";"🟢 ELIAS";""),IF(Calendario!G43="CL";"🟤 ELIAS(CL)";""),IF(Calendario!G43="FV";"🟡 ELIAS(FV)";""),IF(Calendario!G43="TM";"🔵 ELIAS(TM)";""),IF(Calendario!G43="TN";"🟣 ELIAS(TN)";""),IF(Calendario!G43="TT";"🟠 ELIAS(TT)";""),IF(Calendario!H43="";"🟢 CRIS";""),IF(Calendario!H43="CL";"🟤 CRIS(CL)";""),IF(Calendario!H43="FV";"🟡 CRIS(FV)";""),IF(Calendario!H43="TM";"🔵 CRIS(TM)";""),IF(Calendario!H43="TN";"🟣 CRIS(TN)";""),IF(Calendario!H43="TT";"🟠 CRIS(TT)";""))</f>
        <v/>
      </c>
    </row>
    <row r="14" ht="130" customHeight="1">
      <c r="A14" s="47">
        <f>TEXTJOIN(CHAR(10);TRUE;TEXT(Calendario!A44,"DD"),IF(Calendario!C44="";"🟢 SUSANNA";""),IF(Calendario!C44="CL";"🟤 SUSANNA(CL)";""),IF(Calendario!C44="FV";"🟡 SUSANNA(FV)";""),IF(Calendario!C44="TM";"🔵 SUSANNA(TM)";""),IF(Calendario!C44="TN";"🟣 SUSANNA(TN)";""),IF(Calendario!C44="TT";"🟠 SUSANNA(TT)";""),IF(Calendario!D44="";"🟢 ZUA";""),IF(Calendario!D44="CL";"🟤 ZUA(CL)";""),IF(Calendario!D44="FV";"🟡 ZUA(FV)";""),IF(Calendario!D44="TM";"🔵 ZUA(TM)";""),IF(Calendario!D44="TN";"🟣 ZUA(TN)";""),IF(Calendario!D44="TT";"🟠 ZUA(TT)";""),IF(Calendario!E44="";"🟢 PEPE";""),IF(Calendario!E44="CL";"🟤 PEPE(CL)";""),IF(Calendario!E44="FV";"🟡 PEPE(FV)";""),IF(Calendario!E44="TM";"🔵 PEPE(TM)";""),IF(Calendario!E44="TN";"🟣 PEPE(TN)";""),IF(Calendario!E44="TT";"🟠 PEPE(TT)";""),IF(Calendario!F44="";"🟢 ANTO";""),IF(Calendario!F44="CL";"🟤 ANTO(CL)";""),IF(Calendario!F44="FV";"🟡 ANTO(FV)";""),IF(Calendario!F44="TM";"🔵 ANTO(TM)";""),IF(Calendario!F44="TN";"🟣 ANTO(TN)";""),IF(Calendario!F44="TT";"🟠 ANTO(TT)";""),IF(Calendario!G44="";"🟢 ELIAS";""),IF(Calendario!G44="CL";"🟤 ELIAS(CL)";""),IF(Calendario!G44="FV";"🟡 ELIAS(FV)";""),IF(Calendario!G44="TM";"🔵 ELIAS(TM)";""),IF(Calendario!G44="TN";"🟣 ELIAS(TN)";""),IF(Calendario!G44="TT";"🟠 ELIAS(TT)";""),IF(Calendario!H44="";"🟢 CRIS";""),IF(Calendario!H44="CL";"🟤 CRIS(CL)";""),IF(Calendario!H44="FV";"🟡 CRIS(FV)";""),IF(Calendario!H44="TM";"🔵 CRIS(TM)";""),IF(Calendario!H44="TN";"🟣 CRIS(TN)";""),IF(Calendario!H44="TT";"🟠 CRIS(TT)";""))</f>
        <v/>
      </c>
      <c r="B14" s="47">
        <f>TEXTJOIN(CHAR(10);TRUE;TEXT(Calendario!A45,"DD"),IF(Calendario!C45="";"🟢 SUSANNA";""),IF(Calendario!C45="CL";"🟤 SUSANNA(CL)";""),IF(Calendario!C45="FV";"🟡 SUSANNA(FV)";""),IF(Calendario!C45="TM";"🔵 SUSANNA(TM)";""),IF(Calendario!C45="TN";"🟣 SUSANNA(TN)";""),IF(Calendario!C45="TT";"🟠 SUSANNA(TT)";""),IF(Calendario!D45="";"🟢 ZUA";""),IF(Calendario!D45="CL";"🟤 ZUA(CL)";""),IF(Calendario!D45="FV";"🟡 ZUA(FV)";""),IF(Calendario!D45="TM";"🔵 ZUA(TM)";""),IF(Calendario!D45="TN";"🟣 ZUA(TN)";""),IF(Calendario!D45="TT";"🟠 ZUA(TT)";""),IF(Calendario!E45="";"🟢 PEPE";""),IF(Calendario!E45="CL";"🟤 PEPE(CL)";""),IF(Calendario!E45="FV";"🟡 PEPE(FV)";""),IF(Calendario!E45="TM";"🔵 PEPE(TM)";""),IF(Calendario!E45="TN";"🟣 PEPE(TN)";""),IF(Calendario!E45="TT";"🟠 PEPE(TT)";""),IF(Calendario!F45="";"🟢 ANTO";""),IF(Calendario!F45="CL";"🟤 ANTO(CL)";""),IF(Calendario!F45="FV";"🟡 ANTO(FV)";""),IF(Calendario!F45="TM";"🔵 ANTO(TM)";""),IF(Calendario!F45="TN";"🟣 ANTO(TN)";""),IF(Calendario!F45="TT";"🟠 ANTO(TT)";""),IF(Calendario!G45="";"🟢 ELIAS";""),IF(Calendario!G45="CL";"🟤 ELIAS(CL)";""),IF(Calendario!G45="FV";"🟡 ELIAS(FV)";""),IF(Calendario!G45="TM";"🔵 ELIAS(TM)";""),IF(Calendario!G45="TN";"🟣 ELIAS(TN)";""),IF(Calendario!G45="TT";"🟠 ELIAS(TT)";""),IF(Calendario!H45="";"🟢 CRIS";""),IF(Calendario!H45="CL";"🟤 CRIS(CL)";""),IF(Calendario!H45="FV";"🟡 CRIS(FV)";""),IF(Calendario!H45="TM";"🔵 CRIS(TM)";""),IF(Calendario!H45="TN";"🟣 CRIS(TN)";""),IF(Calendario!H45="TT";"🟠 CRIS(TT)";""))</f>
        <v/>
      </c>
      <c r="C14" s="47">
        <f>TEXTJOIN(CHAR(10);TRUE;TEXT(Calendario!A46,"DD"),IF(Calendario!C46="";"🟢 SUSANNA";""),IF(Calendario!C46="CL";"🟤 SUSANNA(CL)";""),IF(Calendario!C46="FV";"🟡 SUSANNA(FV)";""),IF(Calendario!C46="TM";"🔵 SUSANNA(TM)";""),IF(Calendario!C46="TN";"🟣 SUSANNA(TN)";""),IF(Calendario!C46="TT";"🟠 SUSANNA(TT)";""),IF(Calendario!D46="";"🟢 ZUA";""),IF(Calendario!D46="CL";"🟤 ZUA(CL)";""),IF(Calendario!D46="FV";"🟡 ZUA(FV)";""),IF(Calendario!D46="TM";"🔵 ZUA(TM)";""),IF(Calendario!D46="TN";"🟣 ZUA(TN)";""),IF(Calendario!D46="TT";"🟠 ZUA(TT)";""),IF(Calendario!E46="";"🟢 PEPE";""),IF(Calendario!E46="CL";"🟤 PEPE(CL)";""),IF(Calendario!E46="FV";"🟡 PEPE(FV)";""),IF(Calendario!E46="TM";"🔵 PEPE(TM)";""),IF(Calendario!E46="TN";"🟣 PEPE(TN)";""),IF(Calendario!E46="TT";"🟠 PEPE(TT)";""),IF(Calendario!F46="";"🟢 ANTO";""),IF(Calendario!F46="CL";"🟤 ANTO(CL)";""),IF(Calendario!F46="FV";"🟡 ANTO(FV)";""),IF(Calendario!F46="TM";"🔵 ANTO(TM)";""),IF(Calendario!F46="TN";"🟣 ANTO(TN)";""),IF(Calendario!F46="TT";"🟠 ANTO(TT)";""),IF(Calendario!G46="";"🟢 ELIAS";""),IF(Calendario!G46="CL";"🟤 ELIAS(CL)";""),IF(Calendario!G46="FV";"🟡 ELIAS(FV)";""),IF(Calendario!G46="TM";"🔵 ELIAS(TM)";""),IF(Calendario!G46="TN";"🟣 ELIAS(TN)";""),IF(Calendario!G46="TT";"🟠 ELIAS(TT)";""),IF(Calendario!H46="";"🟢 CRIS";""),IF(Calendario!H46="CL";"🟤 CRIS(CL)";""),IF(Calendario!H46="FV";"🟡 CRIS(FV)";""),IF(Calendario!H46="TM";"🔵 CRIS(TM)";""),IF(Calendario!H46="TN";"🟣 CRIS(TN)";""),IF(Calendario!H46="TT";"🟠 CRIS(TT)";""))</f>
        <v/>
      </c>
      <c r="D14" s="47">
        <f>TEXTJOIN(CHAR(10);TRUE;TEXT(Calendario!A47,"DD"),IF(Calendario!C47="";"🟢 SUSANNA";""),IF(Calendario!C47="CL";"🟤 SUSANNA(CL)";""),IF(Calendario!C47="FV";"🟡 SUSANNA(FV)";""),IF(Calendario!C47="TM";"🔵 SUSANNA(TM)";""),IF(Calendario!C47="TN";"🟣 SUSANNA(TN)";""),IF(Calendario!C47="TT";"🟠 SUSANNA(TT)";""),IF(Calendario!D47="";"🟢 ZUA";""),IF(Calendario!D47="CL";"🟤 ZUA(CL)";""),IF(Calendario!D47="FV";"🟡 ZUA(FV)";""),IF(Calendario!D47="TM";"🔵 ZUA(TM)";""),IF(Calendario!D47="TN";"🟣 ZUA(TN)";""),IF(Calendario!D47="TT";"🟠 ZUA(TT)";""),IF(Calendario!E47="";"🟢 PEPE";""),IF(Calendario!E47="CL";"🟤 PEPE(CL)";""),IF(Calendario!E47="FV";"🟡 PEPE(FV)";""),IF(Calendario!E47="TM";"🔵 PEPE(TM)";""),IF(Calendario!E47="TN";"🟣 PEPE(TN)";""),IF(Calendario!E47="TT";"🟠 PEPE(TT)";""),IF(Calendario!F47="";"🟢 ANTO";""),IF(Calendario!F47="CL";"🟤 ANTO(CL)";""),IF(Calendario!F47="FV";"🟡 ANTO(FV)";""),IF(Calendario!F47="TM";"🔵 ANTO(TM)";""),IF(Calendario!F47="TN";"🟣 ANTO(TN)";""),IF(Calendario!F47="TT";"🟠 ANTO(TT)";""),IF(Calendario!G47="";"🟢 ELIAS";""),IF(Calendario!G47="CL";"🟤 ELIAS(CL)";""),IF(Calendario!G47="FV";"🟡 ELIAS(FV)";""),IF(Calendario!G47="TM";"🔵 ELIAS(TM)";""),IF(Calendario!G47="TN";"🟣 ELIAS(TN)";""),IF(Calendario!G47="TT";"🟠 ELIAS(TT)";""),IF(Calendario!H47="";"🟢 CRIS";""),IF(Calendario!H47="CL";"🟤 CRIS(CL)";""),IF(Calendario!H47="FV";"🟡 CRIS(FV)";""),IF(Calendario!H47="TM";"🔵 CRIS(TM)";""),IF(Calendario!H47="TN";"🟣 CRIS(TN)";""),IF(Calendario!H47="TT";"🟠 CRIS(TT)";""))</f>
        <v/>
      </c>
      <c r="E14" s="47">
        <f>TEXTJOIN(CHAR(10);TRUE;TEXT(Calendario!A48,"DD"),IF(Calendario!C48="";"🟢 SUSANNA";""),IF(Calendario!C48="CL";"🟤 SUSANNA(CL)";""),IF(Calendario!C48="FV";"🟡 SUSANNA(FV)";""),IF(Calendario!C48="TM";"🔵 SUSANNA(TM)";""),IF(Calendario!C48="TN";"🟣 SUSANNA(TN)";""),IF(Calendario!C48="TT";"🟠 SUSANNA(TT)";""),IF(Calendario!D48="";"🟢 ZUA";""),IF(Calendario!D48="CL";"🟤 ZUA(CL)";""),IF(Calendario!D48="FV";"🟡 ZUA(FV)";""),IF(Calendario!D48="TM";"🔵 ZUA(TM)";""),IF(Calendario!D48="TN";"🟣 ZUA(TN)";""),IF(Calendario!D48="TT";"🟠 ZUA(TT)";""),IF(Calendario!E48="";"🟢 PEPE";""),IF(Calendario!E48="CL";"🟤 PEPE(CL)";""),IF(Calendario!E48="FV";"🟡 PEPE(FV)";""),IF(Calendario!E48="TM";"🔵 PEPE(TM)";""),IF(Calendario!E48="TN";"🟣 PEPE(TN)";""),IF(Calendario!E48="TT";"🟠 PEPE(TT)";""),IF(Calendario!F48="";"🟢 ANTO";""),IF(Calendario!F48="CL";"🟤 ANTO(CL)";""),IF(Calendario!F48="FV";"🟡 ANTO(FV)";""),IF(Calendario!F48="TM";"🔵 ANTO(TM)";""),IF(Calendario!F48="TN";"🟣 ANTO(TN)";""),IF(Calendario!F48="TT";"🟠 ANTO(TT)";""),IF(Calendario!G48="";"🟢 ELIAS";""),IF(Calendario!G48="CL";"🟤 ELIAS(CL)";""),IF(Calendario!G48="FV";"🟡 ELIAS(FV)";""),IF(Calendario!G48="TM";"🔵 ELIAS(TM)";""),IF(Calendario!G48="TN";"🟣 ELIAS(TN)";""),IF(Calendario!G48="TT";"🟠 ELIAS(TT)";""),IF(Calendario!H48="";"🟢 CRIS";""),IF(Calendario!H48="CL";"🟤 CRIS(CL)";""),IF(Calendario!H48="FV";"🟡 CRIS(FV)";""),IF(Calendario!H48="TM";"🔵 CRIS(TM)";""),IF(Calendario!H48="TN";"🟣 CRIS(TN)";""),IF(Calendario!H48="TT";"🟠 CRIS(TT)";""))</f>
        <v/>
      </c>
      <c r="F14" s="48">
        <f>TEXTJOIN(CHAR(10);TRUE;TEXT(Calendario!A49,"DD"),IF(Calendario!C49="";"🟢 SUSANNA";""),IF(Calendario!C49="CL";"🟤 SUSANNA(CL)";""),IF(Calendario!C49="FV";"🟡 SUSANNA(FV)";""),IF(Calendario!C49="TM";"🔵 SUSANNA(TM)";""),IF(Calendario!C49="TN";"🟣 SUSANNA(TN)";""),IF(Calendario!C49="TT";"🟠 SUSANNA(TT)";""),IF(Calendario!D49="";"🟢 ZUA";""),IF(Calendario!D49="CL";"🟤 ZUA(CL)";""),IF(Calendario!D49="FV";"🟡 ZUA(FV)";""),IF(Calendario!D49="TM";"🔵 ZUA(TM)";""),IF(Calendario!D49="TN";"🟣 ZUA(TN)";""),IF(Calendario!D49="TT";"🟠 ZUA(TT)";""),IF(Calendario!E49="";"🟢 PEPE";""),IF(Calendario!E49="CL";"🟤 PEPE(CL)";""),IF(Calendario!E49="FV";"🟡 PEPE(FV)";""),IF(Calendario!E49="TM";"🔵 PEPE(TM)";""),IF(Calendario!E49="TN";"🟣 PEPE(TN)";""),IF(Calendario!E49="TT";"🟠 PEPE(TT)";""),IF(Calendario!F49="";"🟢 ANTO";""),IF(Calendario!F49="CL";"🟤 ANTO(CL)";""),IF(Calendario!F49="FV";"🟡 ANTO(FV)";""),IF(Calendario!F49="TM";"🔵 ANTO(TM)";""),IF(Calendario!F49="TN";"🟣 ANTO(TN)";""),IF(Calendario!F49="TT";"🟠 ANTO(TT)";""),IF(Calendario!G49="";"🟢 ELIAS";""),IF(Calendario!G49="CL";"🟤 ELIAS(CL)";""),IF(Calendario!G49="FV";"🟡 ELIAS(FV)";""),IF(Calendario!G49="TM";"🔵 ELIAS(TM)";""),IF(Calendario!G49="TN";"🟣 ELIAS(TN)";""),IF(Calendario!G49="TT";"🟠 ELIAS(TT)";""),IF(Calendario!H49="";"🟢 CRIS";""),IF(Calendario!H49="CL";"🟤 CRIS(CL)";""),IF(Calendario!H49="FV";"🟡 CRIS(FV)";""),IF(Calendario!H49="TM";"🔵 CRIS(TM)";""),IF(Calendario!H49="TN";"🟣 CRIS(TN)";""),IF(Calendario!H49="TT";"🟠 CRIS(TT)";""))</f>
        <v/>
      </c>
      <c r="G14" s="48">
        <f>TEXTJOIN(CHAR(10);TRUE;TEXT(Calendario!A50,"DD"),IF(Calendario!C50="";"🟢 SUSANNA";""),IF(Calendario!C50="CL";"🟤 SUSANNA(CL)";""),IF(Calendario!C50="FV";"🟡 SUSANNA(FV)";""),IF(Calendario!C50="TM";"🔵 SUSANNA(TM)";""),IF(Calendario!C50="TN";"🟣 SUSANNA(TN)";""),IF(Calendario!C50="TT";"🟠 SUSANNA(TT)";""),IF(Calendario!D50="";"🟢 ZUA";""),IF(Calendario!D50="CL";"🟤 ZUA(CL)";""),IF(Calendario!D50="FV";"🟡 ZUA(FV)";""),IF(Calendario!D50="TM";"🔵 ZUA(TM)";""),IF(Calendario!D50="TN";"🟣 ZUA(TN)";""),IF(Calendario!D50="TT";"🟠 ZUA(TT)";""),IF(Calendario!E50="";"🟢 PEPE";""),IF(Calendario!E50="CL";"🟤 PEPE(CL)";""),IF(Calendario!E50="FV";"🟡 PEPE(FV)";""),IF(Calendario!E50="TM";"🔵 PEPE(TM)";""),IF(Calendario!E50="TN";"🟣 PEPE(TN)";""),IF(Calendario!E50="TT";"🟠 PEPE(TT)";""),IF(Calendario!F50="";"🟢 ANTO";""),IF(Calendario!F50="CL";"🟤 ANTO(CL)";""),IF(Calendario!F50="FV";"🟡 ANTO(FV)";""),IF(Calendario!F50="TM";"🔵 ANTO(TM)";""),IF(Calendario!F50="TN";"🟣 ANTO(TN)";""),IF(Calendario!F50="TT";"🟠 ANTO(TT)";""),IF(Calendario!G50="";"🟢 ELIAS";""),IF(Calendario!G50="CL";"🟤 ELIAS(CL)";""),IF(Calendario!G50="FV";"🟡 ELIAS(FV)";""),IF(Calendario!G50="TM";"🔵 ELIAS(TM)";""),IF(Calendario!G50="TN";"🟣 ELIAS(TN)";""),IF(Calendario!G50="TT";"🟠 ELIAS(TT)";""),IF(Calendario!H50="";"🟢 CRIS";""),IF(Calendario!H50="CL";"🟤 CRIS(CL)";""),IF(Calendario!H50="FV";"🟡 CRIS(FV)";""),IF(Calendario!H50="TM";"🔵 CRIS(TM)";""),IF(Calendario!H50="TN";"🟣 CRIS(TN)";""),IF(Calendario!H50="TT";"🟠 CRIS(TT)";""))</f>
        <v/>
      </c>
    </row>
    <row r="15" ht="130" customHeight="1">
      <c r="A15" s="47">
        <f>TEXTJOIN(CHAR(10);TRUE;TEXT(Calendario!A51,"DD"),IF(Calendario!C51="";"🟢 SUSANNA";""),IF(Calendario!C51="CL";"🟤 SUSANNA(CL)";""),IF(Calendario!C51="FV";"🟡 SUSANNA(FV)";""),IF(Calendario!C51="TM";"🔵 SUSANNA(TM)";""),IF(Calendario!C51="TN";"🟣 SUSANNA(TN)";""),IF(Calendario!C51="TT";"🟠 SUSANNA(TT)";""),IF(Calendario!D51="";"🟢 ZUA";""),IF(Calendario!D51="CL";"🟤 ZUA(CL)";""),IF(Calendario!D51="FV";"🟡 ZUA(FV)";""),IF(Calendario!D51="TM";"🔵 ZUA(TM)";""),IF(Calendario!D51="TN";"🟣 ZUA(TN)";""),IF(Calendario!D51="TT";"🟠 ZUA(TT)";""),IF(Calendario!E51="";"🟢 PEPE";""),IF(Calendario!E51="CL";"🟤 PEPE(CL)";""),IF(Calendario!E51="FV";"🟡 PEPE(FV)";""),IF(Calendario!E51="TM";"🔵 PEPE(TM)";""),IF(Calendario!E51="TN";"🟣 PEPE(TN)";""),IF(Calendario!E51="TT";"🟠 PEPE(TT)";""),IF(Calendario!F51="";"🟢 ANTO";""),IF(Calendario!F51="CL";"🟤 ANTO(CL)";""),IF(Calendario!F51="FV";"🟡 ANTO(FV)";""),IF(Calendario!F51="TM";"🔵 ANTO(TM)";""),IF(Calendario!F51="TN";"🟣 ANTO(TN)";""),IF(Calendario!F51="TT";"🟠 ANTO(TT)";""),IF(Calendario!G51="";"🟢 ELIAS";""),IF(Calendario!G51="CL";"🟤 ELIAS(CL)";""),IF(Calendario!G51="FV";"🟡 ELIAS(FV)";""),IF(Calendario!G51="TM";"🔵 ELIAS(TM)";""),IF(Calendario!G51="TN";"🟣 ELIAS(TN)";""),IF(Calendario!G51="TT";"🟠 ELIAS(TT)";""),IF(Calendario!H51="";"🟢 CRIS";""),IF(Calendario!H51="CL";"🟤 CRIS(CL)";""),IF(Calendario!H51="FV";"🟡 CRIS(FV)";""),IF(Calendario!H51="TM";"🔵 CRIS(TM)";""),IF(Calendario!H51="TN";"🟣 CRIS(TN)";""),IF(Calendario!H51="TT";"🟠 CRIS(TT)";""))</f>
        <v/>
      </c>
      <c r="B15" s="47">
        <f>TEXTJOIN(CHAR(10);TRUE;TEXT(Calendario!A52,"DD"),IF(Calendario!C52="";"🟢 SUSANNA";""),IF(Calendario!C52="CL";"🟤 SUSANNA(CL)";""),IF(Calendario!C52="FV";"🟡 SUSANNA(FV)";""),IF(Calendario!C52="TM";"🔵 SUSANNA(TM)";""),IF(Calendario!C52="TN";"🟣 SUSANNA(TN)";""),IF(Calendario!C52="TT";"🟠 SUSANNA(TT)";""),IF(Calendario!D52="";"🟢 ZUA";""),IF(Calendario!D52="CL";"🟤 ZUA(CL)";""),IF(Calendario!D52="FV";"🟡 ZUA(FV)";""),IF(Calendario!D52="TM";"🔵 ZUA(TM)";""),IF(Calendario!D52="TN";"🟣 ZUA(TN)";""),IF(Calendario!D52="TT";"🟠 ZUA(TT)";""),IF(Calendario!E52="";"🟢 PEPE";""),IF(Calendario!E52="CL";"🟤 PEPE(CL)";""),IF(Calendario!E52="FV";"🟡 PEPE(FV)";""),IF(Calendario!E52="TM";"🔵 PEPE(TM)";""),IF(Calendario!E52="TN";"🟣 PEPE(TN)";""),IF(Calendario!E52="TT";"🟠 PEPE(TT)";""),IF(Calendario!F52="";"🟢 ANTO";""),IF(Calendario!F52="CL";"🟤 ANTO(CL)";""),IF(Calendario!F52="FV";"🟡 ANTO(FV)";""),IF(Calendario!F52="TM";"🔵 ANTO(TM)";""),IF(Calendario!F52="TN";"🟣 ANTO(TN)";""),IF(Calendario!F52="TT";"🟠 ANTO(TT)";""),IF(Calendario!G52="";"🟢 ELIAS";""),IF(Calendario!G52="CL";"🟤 ELIAS(CL)";""),IF(Calendario!G52="FV";"🟡 ELIAS(FV)";""),IF(Calendario!G52="TM";"🔵 ELIAS(TM)";""),IF(Calendario!G52="TN";"🟣 ELIAS(TN)";""),IF(Calendario!G52="TT";"🟠 ELIAS(TT)";""),IF(Calendario!H52="";"🟢 CRIS";""),IF(Calendario!H52="CL";"🟤 CRIS(CL)";""),IF(Calendario!H52="FV";"🟡 CRIS(FV)";""),IF(Calendario!H52="TM";"🔵 CRIS(TM)";""),IF(Calendario!H52="TN";"🟣 CRIS(TN)";""),IF(Calendario!H52="TT";"🟠 CRIS(TT)";""))</f>
        <v/>
      </c>
      <c r="C15" s="47">
        <f>TEXTJOIN(CHAR(10);TRUE;TEXT(Calendario!A53,"DD"),IF(Calendario!C53="";"🟢 SUSANNA";""),IF(Calendario!C53="CL";"🟤 SUSANNA(CL)";""),IF(Calendario!C53="FV";"🟡 SUSANNA(FV)";""),IF(Calendario!C53="TM";"🔵 SUSANNA(TM)";""),IF(Calendario!C53="TN";"🟣 SUSANNA(TN)";""),IF(Calendario!C53="TT";"🟠 SUSANNA(TT)";""),IF(Calendario!D53="";"🟢 ZUA";""),IF(Calendario!D53="CL";"🟤 ZUA(CL)";""),IF(Calendario!D53="FV";"🟡 ZUA(FV)";""),IF(Calendario!D53="TM";"🔵 ZUA(TM)";""),IF(Calendario!D53="TN";"🟣 ZUA(TN)";""),IF(Calendario!D53="TT";"🟠 ZUA(TT)";""),IF(Calendario!E53="";"🟢 PEPE";""),IF(Calendario!E53="CL";"🟤 PEPE(CL)";""),IF(Calendario!E53="FV";"🟡 PEPE(FV)";""),IF(Calendario!E53="TM";"🔵 PEPE(TM)";""),IF(Calendario!E53="TN";"🟣 PEPE(TN)";""),IF(Calendario!E53="TT";"🟠 PEPE(TT)";""),IF(Calendario!F53="";"🟢 ANTO";""),IF(Calendario!F53="CL";"🟤 ANTO(CL)";""),IF(Calendario!F53="FV";"🟡 ANTO(FV)";""),IF(Calendario!F53="TM";"🔵 ANTO(TM)";""),IF(Calendario!F53="TN";"🟣 ANTO(TN)";""),IF(Calendario!F53="TT";"🟠 ANTO(TT)";""),IF(Calendario!G53="";"🟢 ELIAS";""),IF(Calendario!G53="CL";"🟤 ELIAS(CL)";""),IF(Calendario!G53="FV";"🟡 ELIAS(FV)";""),IF(Calendario!G53="TM";"🔵 ELIAS(TM)";""),IF(Calendario!G53="TN";"🟣 ELIAS(TN)";""),IF(Calendario!G53="TT";"🟠 ELIAS(TT)";""),IF(Calendario!H53="";"🟢 CRIS";""),IF(Calendario!H53="CL";"🟤 CRIS(CL)";""),IF(Calendario!H53="FV";"🟡 CRIS(FV)";""),IF(Calendario!H53="TM";"🔵 CRIS(TM)";""),IF(Calendario!H53="TN";"🟣 CRIS(TN)";""),IF(Calendario!H53="TT";"🟠 CRIS(TT)";""))</f>
        <v/>
      </c>
      <c r="D15" s="47">
        <f>TEXTJOIN(CHAR(10);TRUE;TEXT(Calendario!A54,"DD"),IF(Calendario!C54="";"🟢 SUSANNA";""),IF(Calendario!C54="CL";"🟤 SUSANNA(CL)";""),IF(Calendario!C54="FV";"🟡 SUSANNA(FV)";""),IF(Calendario!C54="TM";"🔵 SUSANNA(TM)";""),IF(Calendario!C54="TN";"🟣 SUSANNA(TN)";""),IF(Calendario!C54="TT";"🟠 SUSANNA(TT)";""),IF(Calendario!D54="";"🟢 ZUA";""),IF(Calendario!D54="CL";"🟤 ZUA(CL)";""),IF(Calendario!D54="FV";"🟡 ZUA(FV)";""),IF(Calendario!D54="TM";"🔵 ZUA(TM)";""),IF(Calendario!D54="TN";"🟣 ZUA(TN)";""),IF(Calendario!D54="TT";"🟠 ZUA(TT)";""),IF(Calendario!E54="";"🟢 PEPE";""),IF(Calendario!E54="CL";"🟤 PEPE(CL)";""),IF(Calendario!E54="FV";"🟡 PEPE(FV)";""),IF(Calendario!E54="TM";"🔵 PEPE(TM)";""),IF(Calendario!E54="TN";"🟣 PEPE(TN)";""),IF(Calendario!E54="TT";"🟠 PEPE(TT)";""),IF(Calendario!F54="";"🟢 ANTO";""),IF(Calendario!F54="CL";"🟤 ANTO(CL)";""),IF(Calendario!F54="FV";"🟡 ANTO(FV)";""),IF(Calendario!F54="TM";"🔵 ANTO(TM)";""),IF(Calendario!F54="TN";"🟣 ANTO(TN)";""),IF(Calendario!F54="TT";"🟠 ANTO(TT)";""),IF(Calendario!G54="";"🟢 ELIAS";""),IF(Calendario!G54="CL";"🟤 ELIAS(CL)";""),IF(Calendario!G54="FV";"🟡 ELIAS(FV)";""),IF(Calendario!G54="TM";"🔵 ELIAS(TM)";""),IF(Calendario!G54="TN";"🟣 ELIAS(TN)";""),IF(Calendario!G54="TT";"🟠 ELIAS(TT)";""),IF(Calendario!H54="";"🟢 CRIS";""),IF(Calendario!H54="CL";"🟤 CRIS(CL)";""),IF(Calendario!H54="FV";"🟡 CRIS(FV)";""),IF(Calendario!H54="TM";"🔵 CRIS(TM)";""),IF(Calendario!H54="TN";"🟣 CRIS(TN)";""),IF(Calendario!H54="TT";"🟠 CRIS(TT)";""))</f>
        <v/>
      </c>
      <c r="E15" s="47">
        <f>TEXTJOIN(CHAR(10);TRUE;TEXT(Calendario!A55,"DD"),IF(Calendario!C55="";"🟢 SUSANNA";""),IF(Calendario!C55="CL";"🟤 SUSANNA(CL)";""),IF(Calendario!C55="FV";"🟡 SUSANNA(FV)";""),IF(Calendario!C55="TM";"🔵 SUSANNA(TM)";""),IF(Calendario!C55="TN";"🟣 SUSANNA(TN)";""),IF(Calendario!C55="TT";"🟠 SUSANNA(TT)";""),IF(Calendario!D55="";"🟢 ZUA";""),IF(Calendario!D55="CL";"🟤 ZUA(CL)";""),IF(Calendario!D55="FV";"🟡 ZUA(FV)";""),IF(Calendario!D55="TM";"🔵 ZUA(TM)";""),IF(Calendario!D55="TN";"🟣 ZUA(TN)";""),IF(Calendario!D55="TT";"🟠 ZUA(TT)";""),IF(Calendario!E55="";"🟢 PEPE";""),IF(Calendario!E55="CL";"🟤 PEPE(CL)";""),IF(Calendario!E55="FV";"🟡 PEPE(FV)";""),IF(Calendario!E55="TM";"🔵 PEPE(TM)";""),IF(Calendario!E55="TN";"🟣 PEPE(TN)";""),IF(Calendario!E55="TT";"🟠 PEPE(TT)";""),IF(Calendario!F55="";"🟢 ANTO";""),IF(Calendario!F55="CL";"🟤 ANTO(CL)";""),IF(Calendario!F55="FV";"🟡 ANTO(FV)";""),IF(Calendario!F55="TM";"🔵 ANTO(TM)";""),IF(Calendario!F55="TN";"🟣 ANTO(TN)";""),IF(Calendario!F55="TT";"🟠 ANTO(TT)";""),IF(Calendario!G55="";"🟢 ELIAS";""),IF(Calendario!G55="CL";"🟤 ELIAS(CL)";""),IF(Calendario!G55="FV";"🟡 ELIAS(FV)";""),IF(Calendario!G55="TM";"🔵 ELIAS(TM)";""),IF(Calendario!G55="TN";"🟣 ELIAS(TN)";""),IF(Calendario!G55="TT";"🟠 ELIAS(TT)";""),IF(Calendario!H55="";"🟢 CRIS";""),IF(Calendario!H55="CL";"🟤 CRIS(CL)";""),IF(Calendario!H55="FV";"🟡 CRIS(FV)";""),IF(Calendario!H55="TM";"🔵 CRIS(TM)";""),IF(Calendario!H55="TN";"🟣 CRIS(TN)";""),IF(Calendario!H55="TT";"🟠 CRIS(TT)";""))</f>
        <v/>
      </c>
      <c r="F15" s="48">
        <f>TEXTJOIN(CHAR(10);TRUE;TEXT(Calendario!A56,"DD"),IF(Calendario!C56="";"🟢 SUSANNA";""),IF(Calendario!C56="CL";"🟤 SUSANNA(CL)";""),IF(Calendario!C56="FV";"🟡 SUSANNA(FV)";""),IF(Calendario!C56="TM";"🔵 SUSANNA(TM)";""),IF(Calendario!C56="TN";"🟣 SUSANNA(TN)";""),IF(Calendario!C56="TT";"🟠 SUSANNA(TT)";""),IF(Calendario!D56="";"🟢 ZUA";""),IF(Calendario!D56="CL";"🟤 ZUA(CL)";""),IF(Calendario!D56="FV";"🟡 ZUA(FV)";""),IF(Calendario!D56="TM";"🔵 ZUA(TM)";""),IF(Calendario!D56="TN";"🟣 ZUA(TN)";""),IF(Calendario!D56="TT";"🟠 ZUA(TT)";""),IF(Calendario!E56="";"🟢 PEPE";""),IF(Calendario!E56="CL";"🟤 PEPE(CL)";""),IF(Calendario!E56="FV";"🟡 PEPE(FV)";""),IF(Calendario!E56="TM";"🔵 PEPE(TM)";""),IF(Calendario!E56="TN";"🟣 PEPE(TN)";""),IF(Calendario!E56="TT";"🟠 PEPE(TT)";""),IF(Calendario!F56="";"🟢 ANTO";""),IF(Calendario!F56="CL";"🟤 ANTO(CL)";""),IF(Calendario!F56="FV";"🟡 ANTO(FV)";""),IF(Calendario!F56="TM";"🔵 ANTO(TM)";""),IF(Calendario!F56="TN";"🟣 ANTO(TN)";""),IF(Calendario!F56="TT";"🟠 ANTO(TT)";""),IF(Calendario!G56="";"🟢 ELIAS";""),IF(Calendario!G56="CL";"🟤 ELIAS(CL)";""),IF(Calendario!G56="FV";"🟡 ELIAS(FV)";""),IF(Calendario!G56="TM";"🔵 ELIAS(TM)";""),IF(Calendario!G56="TN";"🟣 ELIAS(TN)";""),IF(Calendario!G56="TT";"🟠 ELIAS(TT)";""),IF(Calendario!H56="";"🟢 CRIS";""),IF(Calendario!H56="CL";"🟤 CRIS(CL)";""),IF(Calendario!H56="FV";"🟡 CRIS(FV)";""),IF(Calendario!H56="TM";"🔵 CRIS(TM)";""),IF(Calendario!H56="TN";"🟣 CRIS(TN)";""),IF(Calendario!H56="TT";"🟠 CRIS(TT)";""))</f>
        <v/>
      </c>
      <c r="G15" s="48">
        <f>TEXTJOIN(CHAR(10);TRUE;TEXT(Calendario!A57,"DD"),IF(Calendario!C57="";"🟢 SUSANNA";""),IF(Calendario!C57="CL";"🟤 SUSANNA(CL)";""),IF(Calendario!C57="FV";"🟡 SUSANNA(FV)";""),IF(Calendario!C57="TM";"🔵 SUSANNA(TM)";""),IF(Calendario!C57="TN";"🟣 SUSANNA(TN)";""),IF(Calendario!C57="TT";"🟠 SUSANNA(TT)";""),IF(Calendario!D57="";"🟢 ZUA";""),IF(Calendario!D57="CL";"🟤 ZUA(CL)";""),IF(Calendario!D57="FV";"🟡 ZUA(FV)";""),IF(Calendario!D57="TM";"🔵 ZUA(TM)";""),IF(Calendario!D57="TN";"🟣 ZUA(TN)";""),IF(Calendario!D57="TT";"🟠 ZUA(TT)";""),IF(Calendario!E57="";"🟢 PEPE";""),IF(Calendario!E57="CL";"🟤 PEPE(CL)";""),IF(Calendario!E57="FV";"🟡 PEPE(FV)";""),IF(Calendario!E57="TM";"🔵 PEPE(TM)";""),IF(Calendario!E57="TN";"🟣 PEPE(TN)";""),IF(Calendario!E57="TT";"🟠 PEPE(TT)";""),IF(Calendario!F57="";"🟢 ANTO";""),IF(Calendario!F57="CL";"🟤 ANTO(CL)";""),IF(Calendario!F57="FV";"🟡 ANTO(FV)";""),IF(Calendario!F57="TM";"🔵 ANTO(TM)";""),IF(Calendario!F57="TN";"🟣 ANTO(TN)";""),IF(Calendario!F57="TT";"🟠 ANTO(TT)";""),IF(Calendario!G57="";"🟢 ELIAS";""),IF(Calendario!G57="CL";"🟤 ELIAS(CL)";""),IF(Calendario!G57="FV";"🟡 ELIAS(FV)";""),IF(Calendario!G57="TM";"🔵 ELIAS(TM)";""),IF(Calendario!G57="TN";"🟣 ELIAS(TN)";""),IF(Calendario!G57="TT";"🟠 ELIAS(TT)";""),IF(Calendario!H57="";"🟢 CRIS";""),IF(Calendario!H57="CL";"🟤 CRIS(CL)";""),IF(Calendario!H57="FV";"🟡 CRIS(FV)";""),IF(Calendario!H57="TM";"🔵 CRIS(TM)";""),IF(Calendario!H57="TN";"🟣 CRIS(TN)";""),IF(Calendario!H57="TT";"🟠 CRIS(TT)";""))</f>
        <v/>
      </c>
    </row>
    <row r="16" ht="130" customHeight="1">
      <c r="A16" s="47">
        <f>TEXTJOIN(CHAR(10);TRUE;TEXT(Calendario!A58,"DD"),IF(Calendario!C58="";"🟢 SUSANNA";""),IF(Calendario!C58="CL";"🟤 SUSANNA(CL)";""),IF(Calendario!C58="FV";"🟡 SUSANNA(FV)";""),IF(Calendario!C58="TM";"🔵 SUSANNA(TM)";""),IF(Calendario!C58="TN";"🟣 SUSANNA(TN)";""),IF(Calendario!C58="TT";"🟠 SUSANNA(TT)";""),IF(Calendario!D58="";"🟢 ZUA";""),IF(Calendario!D58="CL";"🟤 ZUA(CL)";""),IF(Calendario!D58="FV";"🟡 ZUA(FV)";""),IF(Calendario!D58="TM";"🔵 ZUA(TM)";""),IF(Calendario!D58="TN";"🟣 ZUA(TN)";""),IF(Calendario!D58="TT";"🟠 ZUA(TT)";""),IF(Calendario!E58="";"🟢 PEPE";""),IF(Calendario!E58="CL";"🟤 PEPE(CL)";""),IF(Calendario!E58="FV";"🟡 PEPE(FV)";""),IF(Calendario!E58="TM";"🔵 PEPE(TM)";""),IF(Calendario!E58="TN";"🟣 PEPE(TN)";""),IF(Calendario!E58="TT";"🟠 PEPE(TT)";""),IF(Calendario!F58="";"🟢 ANTO";""),IF(Calendario!F58="CL";"🟤 ANTO(CL)";""),IF(Calendario!F58="FV";"🟡 ANTO(FV)";""),IF(Calendario!F58="TM";"🔵 ANTO(TM)";""),IF(Calendario!F58="TN";"🟣 ANTO(TN)";""),IF(Calendario!F58="TT";"🟠 ANTO(TT)";""),IF(Calendario!G58="";"🟢 ELIAS";""),IF(Calendario!G58="CL";"🟤 ELIAS(CL)";""),IF(Calendario!G58="FV";"🟡 ELIAS(FV)";""),IF(Calendario!G58="TM";"🔵 ELIAS(TM)";""),IF(Calendario!G58="TN";"🟣 ELIAS(TN)";""),IF(Calendario!G58="TT";"🟠 ELIAS(TT)";""),IF(Calendario!H58="";"🟢 CRIS";""),IF(Calendario!H58="CL";"🟤 CRIS(CL)";""),IF(Calendario!H58="FV";"🟡 CRIS(FV)";""),IF(Calendario!H58="TM";"🔵 CRIS(TM)";""),IF(Calendario!H58="TN";"🟣 CRIS(TN)";""),IF(Calendario!H58="TT";"🟠 CRIS(TT)";""))</f>
        <v/>
      </c>
      <c r="B16" s="47">
        <f>TEXTJOIN(CHAR(10);TRUE;TEXT(Calendario!A59,"DD"),IF(Calendario!C59="";"🟢 SUSANNA";""),IF(Calendario!C59="CL";"🟤 SUSANNA(CL)";""),IF(Calendario!C59="FV";"🟡 SUSANNA(FV)";""),IF(Calendario!C59="TM";"🔵 SUSANNA(TM)";""),IF(Calendario!C59="TN";"🟣 SUSANNA(TN)";""),IF(Calendario!C59="TT";"🟠 SUSANNA(TT)";""),IF(Calendario!D59="";"🟢 ZUA";""),IF(Calendario!D59="CL";"🟤 ZUA(CL)";""),IF(Calendario!D59="FV";"🟡 ZUA(FV)";""),IF(Calendario!D59="TM";"🔵 ZUA(TM)";""),IF(Calendario!D59="TN";"🟣 ZUA(TN)";""),IF(Calendario!D59="TT";"🟠 ZUA(TT)";""),IF(Calendario!E59="";"🟢 PEPE";""),IF(Calendario!E59="CL";"🟤 PEPE(CL)";""),IF(Calendario!E59="FV";"🟡 PEPE(FV)";""),IF(Calendario!E59="TM";"🔵 PEPE(TM)";""),IF(Calendario!E59="TN";"🟣 PEPE(TN)";""),IF(Calendario!E59="TT";"🟠 PEPE(TT)";""),IF(Calendario!F59="";"🟢 ANTO";""),IF(Calendario!F59="CL";"🟤 ANTO(CL)";""),IF(Calendario!F59="FV";"🟡 ANTO(FV)";""),IF(Calendario!F59="TM";"🔵 ANTO(TM)";""),IF(Calendario!F59="TN";"🟣 ANTO(TN)";""),IF(Calendario!F59="TT";"🟠 ANTO(TT)";""),IF(Calendario!G59="";"🟢 ELIAS";""),IF(Calendario!G59="CL";"🟤 ELIAS(CL)";""),IF(Calendario!G59="FV";"🟡 ELIAS(FV)";""),IF(Calendario!G59="TM";"🔵 ELIAS(TM)";""),IF(Calendario!G59="TN";"🟣 ELIAS(TN)";""),IF(Calendario!G59="TT";"🟠 ELIAS(TT)";""),IF(Calendario!H59="";"🟢 CRIS";""),IF(Calendario!H59="CL";"🟤 CRIS(CL)";""),IF(Calendario!H59="FV";"🟡 CRIS(FV)";""),IF(Calendario!H59="TM";"🔵 CRIS(TM)";""),IF(Calendario!H59="TN";"🟣 CRIS(TN)";""),IF(Calendario!H59="TT";"🟠 CRIS(TT)";""))</f>
        <v/>
      </c>
      <c r="C16" s="47">
        <f>TEXTJOIN(CHAR(10);TRUE;TEXT(Calendario!A60,"DD"),IF(Calendario!C60="";"🟢 SUSANNA";""),IF(Calendario!C60="CL";"🟤 SUSANNA(CL)";""),IF(Calendario!C60="FV";"🟡 SUSANNA(FV)";""),IF(Calendario!C60="TM";"🔵 SUSANNA(TM)";""),IF(Calendario!C60="TN";"🟣 SUSANNA(TN)";""),IF(Calendario!C60="TT";"🟠 SUSANNA(TT)";""),IF(Calendario!D60="";"🟢 ZUA";""),IF(Calendario!D60="CL";"🟤 ZUA(CL)";""),IF(Calendario!D60="FV";"🟡 ZUA(FV)";""),IF(Calendario!D60="TM";"🔵 ZUA(TM)";""),IF(Calendario!D60="TN";"🟣 ZUA(TN)";""),IF(Calendario!D60="TT";"🟠 ZUA(TT)";""),IF(Calendario!E60="";"🟢 PEPE";""),IF(Calendario!E60="CL";"🟤 PEPE(CL)";""),IF(Calendario!E60="FV";"🟡 PEPE(FV)";""),IF(Calendario!E60="TM";"🔵 PEPE(TM)";""),IF(Calendario!E60="TN";"🟣 PEPE(TN)";""),IF(Calendario!E60="TT";"🟠 PEPE(TT)";""),IF(Calendario!F60="";"🟢 ANTO";""),IF(Calendario!F60="CL";"🟤 ANTO(CL)";""),IF(Calendario!F60="FV";"🟡 ANTO(FV)";""),IF(Calendario!F60="TM";"🔵 ANTO(TM)";""),IF(Calendario!F60="TN";"🟣 ANTO(TN)";""),IF(Calendario!F60="TT";"🟠 ANTO(TT)";""),IF(Calendario!G60="";"🟢 ELIAS";""),IF(Calendario!G60="CL";"🟤 ELIAS(CL)";""),IF(Calendario!G60="FV";"🟡 ELIAS(FV)";""),IF(Calendario!G60="TM";"🔵 ELIAS(TM)";""),IF(Calendario!G60="TN";"🟣 ELIAS(TN)";""),IF(Calendario!G60="TT";"🟠 ELIAS(TT)";""),IF(Calendario!H60="";"🟢 CRIS";""),IF(Calendario!H60="CL";"🟤 CRIS(CL)";""),IF(Calendario!H60="FV";"🟡 CRIS(FV)";""),IF(Calendario!H60="TM";"🔵 CRIS(TM)";""),IF(Calendario!H60="TN";"🟣 CRIS(TN)";""),IF(Calendario!H60="TT";"🟠 CRIS(TT)";""))</f>
        <v/>
      </c>
      <c r="D16" s="47">
        <f>TEXTJOIN(CHAR(10);TRUE;TEXT(Calendario!A61,"DD"),IF(Calendario!C61="";"🟢 SUSANNA";""),IF(Calendario!C61="CL";"🟤 SUSANNA(CL)";""),IF(Calendario!C61="FV";"🟡 SUSANNA(FV)";""),IF(Calendario!C61="TM";"🔵 SUSANNA(TM)";""),IF(Calendario!C61="TN";"🟣 SUSANNA(TN)";""),IF(Calendario!C61="TT";"🟠 SUSANNA(TT)";""),IF(Calendario!D61="";"🟢 ZUA";""),IF(Calendario!D61="CL";"🟤 ZUA(CL)";""),IF(Calendario!D61="FV";"🟡 ZUA(FV)";""),IF(Calendario!D61="TM";"🔵 ZUA(TM)";""),IF(Calendario!D61="TN";"🟣 ZUA(TN)";""),IF(Calendario!D61="TT";"🟠 ZUA(TT)";""),IF(Calendario!E61="";"🟢 PEPE";""),IF(Calendario!E61="CL";"🟤 PEPE(CL)";""),IF(Calendario!E61="FV";"🟡 PEPE(FV)";""),IF(Calendario!E61="TM";"🔵 PEPE(TM)";""),IF(Calendario!E61="TN";"🟣 PEPE(TN)";""),IF(Calendario!E61="TT";"🟠 PEPE(TT)";""),IF(Calendario!F61="";"🟢 ANTO";""),IF(Calendario!F61="CL";"🟤 ANTO(CL)";""),IF(Calendario!F61="FV";"🟡 ANTO(FV)";""),IF(Calendario!F61="TM";"🔵 ANTO(TM)";""),IF(Calendario!F61="TN";"🟣 ANTO(TN)";""),IF(Calendario!F61="TT";"🟠 ANTO(TT)";""),IF(Calendario!G61="";"🟢 ELIAS";""),IF(Calendario!G61="CL";"🟤 ELIAS(CL)";""),IF(Calendario!G61="FV";"🟡 ELIAS(FV)";""),IF(Calendario!G61="TM";"🔵 ELIAS(TM)";""),IF(Calendario!G61="TN";"🟣 ELIAS(TN)";""),IF(Calendario!G61="TT";"🟠 ELIAS(TT)";""),IF(Calendario!H61="";"🟢 CRIS";""),IF(Calendario!H61="CL";"🟤 CRIS(CL)";""),IF(Calendario!H61="FV";"🟡 CRIS(FV)";""),IF(Calendario!H61="TM";"🔵 CRIS(TM)";""),IF(Calendario!H61="TN";"🟣 CRIS(TN)";""),IF(Calendario!H61="TT";"🟠 CRIS(TT)";""))</f>
        <v/>
      </c>
      <c r="E16" s="47">
        <f>TEXTJOIN(CHAR(10);TRUE;TEXT(Calendario!A62,"DD"),IF(Calendario!C62="";"🟢 SUSANNA";""),IF(Calendario!C62="CL";"🟤 SUSANNA(CL)";""),IF(Calendario!C62="FV";"🟡 SUSANNA(FV)";""),IF(Calendario!C62="TM";"🔵 SUSANNA(TM)";""),IF(Calendario!C62="TN";"🟣 SUSANNA(TN)";""),IF(Calendario!C62="TT";"🟠 SUSANNA(TT)";""),IF(Calendario!D62="";"🟢 ZUA";""),IF(Calendario!D62="CL";"🟤 ZUA(CL)";""),IF(Calendario!D62="FV";"🟡 ZUA(FV)";""),IF(Calendario!D62="TM";"🔵 ZUA(TM)";""),IF(Calendario!D62="TN";"🟣 ZUA(TN)";""),IF(Calendario!D62="TT";"🟠 ZUA(TT)";""),IF(Calendario!E62="";"🟢 PEPE";""),IF(Calendario!E62="CL";"🟤 PEPE(CL)";""),IF(Calendario!E62="FV";"🟡 PEPE(FV)";""),IF(Calendario!E62="TM";"🔵 PEPE(TM)";""),IF(Calendario!E62="TN";"🟣 PEPE(TN)";""),IF(Calendario!E62="TT";"🟠 PEPE(TT)";""),IF(Calendario!F62="";"🟢 ANTO";""),IF(Calendario!F62="CL";"🟤 ANTO(CL)";""),IF(Calendario!F62="FV";"🟡 ANTO(FV)";""),IF(Calendario!F62="TM";"🔵 ANTO(TM)";""),IF(Calendario!F62="TN";"🟣 ANTO(TN)";""),IF(Calendario!F62="TT";"🟠 ANTO(TT)";""),IF(Calendario!G62="";"🟢 ELIAS";""),IF(Calendario!G62="CL";"🟤 ELIAS(CL)";""),IF(Calendario!G62="FV";"🟡 ELIAS(FV)";""),IF(Calendario!G62="TM";"🔵 ELIAS(TM)";""),IF(Calendario!G62="TN";"🟣 ELIAS(TN)";""),IF(Calendario!G62="TT";"🟠 ELIAS(TT)";""),IF(Calendario!H62="";"🟢 CRIS";""),IF(Calendario!H62="CL";"🟤 CRIS(CL)";""),IF(Calendario!H62="FV";"🟡 CRIS(FV)";""),IF(Calendario!H62="TM";"🔵 CRIS(TM)";""),IF(Calendario!H62="TN";"🟣 CRIS(TN)";""),IF(Calendario!H62="TT";"🟠 CRIS(TT)";""))</f>
        <v/>
      </c>
      <c r="F16" s="48">
        <f>TEXTJOIN(CHAR(10);TRUE;TEXT(Calendario!A63,"DD"),IF(Calendario!C63="";"🟢 SUSANNA";""),IF(Calendario!C63="CL";"🟤 SUSANNA(CL)";""),IF(Calendario!C63="FV";"🟡 SUSANNA(FV)";""),IF(Calendario!C63="TM";"🔵 SUSANNA(TM)";""),IF(Calendario!C63="TN";"🟣 SUSANNA(TN)";""),IF(Calendario!C63="TT";"🟠 SUSANNA(TT)";""),IF(Calendario!D63="";"🟢 ZUA";""),IF(Calendario!D63="CL";"🟤 ZUA(CL)";""),IF(Calendario!D63="FV";"🟡 ZUA(FV)";""),IF(Calendario!D63="TM";"🔵 ZUA(TM)";""),IF(Calendario!D63="TN";"🟣 ZUA(TN)";""),IF(Calendario!D63="TT";"🟠 ZUA(TT)";""),IF(Calendario!E63="";"🟢 PEPE";""),IF(Calendario!E63="CL";"🟤 PEPE(CL)";""),IF(Calendario!E63="FV";"🟡 PEPE(FV)";""),IF(Calendario!E63="TM";"🔵 PEPE(TM)";""),IF(Calendario!E63="TN";"🟣 PEPE(TN)";""),IF(Calendario!E63="TT";"🟠 PEPE(TT)";""),IF(Calendario!F63="";"🟢 ANTO";""),IF(Calendario!F63="CL";"🟤 ANTO(CL)";""),IF(Calendario!F63="FV";"🟡 ANTO(FV)";""),IF(Calendario!F63="TM";"🔵 ANTO(TM)";""),IF(Calendario!F63="TN";"🟣 ANTO(TN)";""),IF(Calendario!F63="TT";"🟠 ANTO(TT)";""),IF(Calendario!G63="";"🟢 ELIAS";""),IF(Calendario!G63="CL";"🟤 ELIAS(CL)";""),IF(Calendario!G63="FV";"🟡 ELIAS(FV)";""),IF(Calendario!G63="TM";"🔵 ELIAS(TM)";""),IF(Calendario!G63="TN";"🟣 ELIAS(TN)";""),IF(Calendario!G63="TT";"🟠 ELIAS(TT)";""),IF(Calendario!H63="";"🟢 CRIS";""),IF(Calendario!H63="CL";"🟤 CRIS(CL)";""),IF(Calendario!H63="FV";"🟡 CRIS(FV)";""),IF(Calendario!H63="TM";"🔵 CRIS(TM)";""),IF(Calendario!H63="TN";"🟣 CRIS(TN)";""),IF(Calendario!H63="TT";"🟠 CRIS(TT)";""))</f>
        <v/>
      </c>
      <c r="G16" s="48">
        <f>TEXTJOIN(CHAR(10);TRUE;TEXT(Calendario!A64,"DD"),IF(Calendario!C64="";"🟢 SUSANNA";""),IF(Calendario!C64="CL";"🟤 SUSANNA(CL)";""),IF(Calendario!C64="FV";"🟡 SUSANNA(FV)";""),IF(Calendario!C64="TM";"🔵 SUSANNA(TM)";""),IF(Calendario!C64="TN";"🟣 SUSANNA(TN)";""),IF(Calendario!C64="TT";"🟠 SUSANNA(TT)";""),IF(Calendario!D64="";"🟢 ZUA";""),IF(Calendario!D64="CL";"🟤 ZUA(CL)";""),IF(Calendario!D64="FV";"🟡 ZUA(FV)";""),IF(Calendario!D64="TM";"🔵 ZUA(TM)";""),IF(Calendario!D64="TN";"🟣 ZUA(TN)";""),IF(Calendario!D64="TT";"🟠 ZUA(TT)";""),IF(Calendario!E64="";"🟢 PEPE";""),IF(Calendario!E64="CL";"🟤 PEPE(CL)";""),IF(Calendario!E64="FV";"🟡 PEPE(FV)";""),IF(Calendario!E64="TM";"🔵 PEPE(TM)";""),IF(Calendario!E64="TN";"🟣 PEPE(TN)";""),IF(Calendario!E64="TT";"🟠 PEPE(TT)";""),IF(Calendario!F64="";"🟢 ANTO";""),IF(Calendario!F64="CL";"🟤 ANTO(CL)";""),IF(Calendario!F64="FV";"🟡 ANTO(FV)";""),IF(Calendario!F64="TM";"🔵 ANTO(TM)";""),IF(Calendario!F64="TN";"🟣 ANTO(TN)";""),IF(Calendario!F64="TT";"🟠 ANTO(TT)";""),IF(Calendario!G64="";"🟢 ELIAS";""),IF(Calendario!G64="CL";"🟤 ELIAS(CL)";""),IF(Calendario!G64="FV";"🟡 ELIAS(FV)";""),IF(Calendario!G64="TM";"🔵 ELIAS(TM)";""),IF(Calendario!G64="TN";"🟣 ELIAS(TN)";""),IF(Calendario!G64="TT";"🟠 ELIAS(TT)";""),IF(Calendario!H64="";"🟢 CRIS";""),IF(Calendario!H64="CL";"🟤 CRIS(CL)";""),IF(Calendario!H64="FV";"🟡 CRIS(FV)";""),IF(Calendario!H64="TM";"🔵 CRIS(TM)";""),IF(Calendario!H64="TN";"🟣 CRIS(TN)";""),IF(Calendario!H64="TT";"🟠 CRIS(TT)";""))</f>
        <v/>
      </c>
    </row>
    <row r="17" ht="130" customHeight="1">
      <c r="A17" s="47">
        <f>TEXTJOIN(CHAR(10);TRUE;TEXT(Calendario!A65,"DD"),IF(Calendario!C65="";"🟢 SUSANNA";""),IF(Calendario!C65="CL";"🟤 SUSANNA(CL)";""),IF(Calendario!C65="FV";"🟡 SUSANNA(FV)";""),IF(Calendario!C65="TM";"🔵 SUSANNA(TM)";""),IF(Calendario!C65="TN";"🟣 SUSANNA(TN)";""),IF(Calendario!C65="TT";"🟠 SUSANNA(TT)";""),IF(Calendario!D65="";"🟢 ZUA";""),IF(Calendario!D65="CL";"🟤 ZUA(CL)";""),IF(Calendario!D65="FV";"🟡 ZUA(FV)";""),IF(Calendario!D65="TM";"🔵 ZUA(TM)";""),IF(Calendario!D65="TN";"🟣 ZUA(TN)";""),IF(Calendario!D65="TT";"🟠 ZUA(TT)";""),IF(Calendario!E65="";"🟢 PEPE";""),IF(Calendario!E65="CL";"🟤 PEPE(CL)";""),IF(Calendario!E65="FV";"🟡 PEPE(FV)";""),IF(Calendario!E65="TM";"🔵 PEPE(TM)";""),IF(Calendario!E65="TN";"🟣 PEPE(TN)";""),IF(Calendario!E65="TT";"🟠 PEPE(TT)";""),IF(Calendario!F65="";"🟢 ANTO";""),IF(Calendario!F65="CL";"🟤 ANTO(CL)";""),IF(Calendario!F65="FV";"🟡 ANTO(FV)";""),IF(Calendario!F65="TM";"🔵 ANTO(TM)";""),IF(Calendario!F65="TN";"🟣 ANTO(TN)";""),IF(Calendario!F65="TT";"🟠 ANTO(TT)";""),IF(Calendario!G65="";"🟢 ELIAS";""),IF(Calendario!G65="CL";"🟤 ELIAS(CL)";""),IF(Calendario!G65="FV";"🟡 ELIAS(FV)";""),IF(Calendario!G65="TM";"🔵 ELIAS(TM)";""),IF(Calendario!G65="TN";"🟣 ELIAS(TN)";""),IF(Calendario!G65="TT";"🟠 ELIAS(TT)";""),IF(Calendario!H65="";"🟢 CRIS";""),IF(Calendario!H65="CL";"🟤 CRIS(CL)";""),IF(Calendario!H65="FV";"🟡 CRIS(FV)";""),IF(Calendario!H65="TM";"🔵 CRIS(TM)";""),IF(Calendario!H65="TN";"🟣 CRIS(TN)";""),IF(Calendario!H65="TT";"🟠 CRIS(TT)";""))</f>
        <v/>
      </c>
      <c r="B17" s="46" t="n"/>
      <c r="C17" s="46" t="n"/>
      <c r="D17" s="46" t="n"/>
      <c r="E17" s="46" t="n"/>
      <c r="F17" s="46" t="n"/>
      <c r="G17" s="46" t="n"/>
    </row>
  </sheetData>
  <mergeCells count="2">
    <mergeCell ref="A1:G1"/>
    <mergeCell ref="A10:G10"/>
  </mergeCells>
  <conditionalFormatting sqref="A3:G8">
    <cfRule type="expression" priority="1" dxfId="15">
      <formula>REGEXMATCH(A3,"🔵")</formula>
    </cfRule>
    <cfRule type="expression" priority="2" dxfId="16">
      <formula>REGEXMATCH(A3,"🟠")</formula>
    </cfRule>
    <cfRule type="expression" priority="3" dxfId="17">
      <formula>REGEXMATCH(A3,"🟣")</formula>
    </cfRule>
    <cfRule type="expression" priority="4" dxfId="18">
      <formula>REGEXMATCH(A3,"🟤")</formula>
    </cfRule>
    <cfRule type="expression" priority="5" dxfId="19">
      <formula>REGEXMATCH(A3,"🟢")</formula>
    </cfRule>
    <cfRule type="expression" priority="6" dxfId="20">
      <formula>REGEXMATCH(A3,"🟡")</formula>
    </cfRule>
  </conditionalFormatting>
  <conditionalFormatting sqref="F3:F8">
    <cfRule type="expression" priority="7" dxfId="14">
      <formula>TRUE</formula>
    </cfRule>
  </conditionalFormatting>
  <conditionalFormatting sqref="G3:G8">
    <cfRule type="expression" priority="8" dxfId="14">
      <formula>TRUE</formula>
    </cfRule>
  </conditionalFormatting>
  <conditionalFormatting sqref="A12:G17">
    <cfRule type="expression" priority="9" dxfId="15">
      <formula>REGEXMATCH(A12,"🔵")</formula>
    </cfRule>
    <cfRule type="expression" priority="10" dxfId="16">
      <formula>REGEXMATCH(A12,"🟠")</formula>
    </cfRule>
    <cfRule type="expression" priority="11" dxfId="17">
      <formula>REGEXMATCH(A12,"🟣")</formula>
    </cfRule>
    <cfRule type="expression" priority="12" dxfId="18">
      <formula>REGEXMATCH(A12,"🟤")</formula>
    </cfRule>
    <cfRule type="expression" priority="13" dxfId="19">
      <formula>REGEXMATCH(A12,"🟢")</formula>
    </cfRule>
    <cfRule type="expression" priority="14" dxfId="20">
      <formula>REGEXMATCH(A12,"🟡")</formula>
    </cfRule>
  </conditionalFormatting>
  <conditionalFormatting sqref="F12:F17">
    <cfRule type="expression" priority="15" dxfId="14">
      <formula>TRUE</formula>
    </cfRule>
  </conditionalFormatting>
  <conditionalFormatting sqref="G12:G17">
    <cfRule type="expression" priority="16" dxfId="14">
      <formula>TRUE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0" t="inlineStr">
        <is>
          <t>CALENDARIO DE DISPONIBILIDAD  —  JULIO &amp; AGOSTO 2026</t>
        </is>
      </c>
    </row>
    <row r="2">
      <c r="A2" t="inlineStr"/>
    </row>
    <row r="3">
      <c r="A3" s="51" t="inlineStr">
        <is>
          <t>COMO USARLO:</t>
        </is>
      </c>
    </row>
    <row r="4">
      <c r="A4" t="inlineStr"/>
    </row>
    <row r="5">
      <c r="A5" s="52" t="inlineStr">
        <is>
          <t>1. En 'Calendario', cada persona rellena su columna con el desplegable:</t>
        </is>
      </c>
    </row>
    <row r="6">
      <c r="A6" s="52" t="inlineStr">
        <is>
          <t xml:space="preserve">   TM(Trabajar) | TT(Trabajar) | TN(Trabajar) | FV(Fuera (p) | FN(Fuera (N) | OC(Ocupado) | RE(Recupera) | OT(Otros) | CL(Clases)</t>
        </is>
      </c>
    </row>
    <row r="7">
      <c r="A7" s="52" t="inlineStr">
        <is>
          <t xml:space="preserve">   (vacio = disponible)</t>
        </is>
      </c>
    </row>
    <row r="8">
      <c r="A8" t="inlineStr"/>
    </row>
    <row r="9">
      <c r="A9" s="52" t="inlineStr">
        <is>
          <t>2. Las demas hojas se actualizan SOLAS:</t>
        </is>
      </c>
    </row>
    <row r="10">
      <c r="A10" s="52" t="inlineStr">
        <is>
          <t xml:space="preserve">   Resumen -&gt; metricas del grupo</t>
        </is>
      </c>
    </row>
    <row r="11">
      <c r="A11" s="52" t="inlineStr">
        <is>
          <t xml:space="preserve">   JULIO -&gt; listado de quien puede cada dia</t>
        </is>
      </c>
    </row>
    <row r="12">
      <c r="A12" s="52" t="inlineStr">
        <is>
          <t xml:space="preserve">   AGOSTO -&gt; listado de quien puede cada dia</t>
        </is>
      </c>
    </row>
    <row r="13">
      <c r="A13" s="52" t="inlineStr">
        <is>
          <t xml:space="preserve">   Cuadricula -&gt; vista calendario con emojis de colores:</t>
        </is>
      </c>
    </row>
    <row r="14">
      <c r="A14" s="52" t="inlineStr">
        <is>
          <t xml:space="preserve">      🟢 = libre    🔵 = TM    🟠 = TT    🟣 = TN    🟡 = FV</t>
        </is>
      </c>
    </row>
    <row r="15">
      <c r="A15" s="52" t="inlineStr">
        <is>
          <t xml:space="preserve">   (FN/OC/RE/OT no aparecen = 100% no disponibles)</t>
        </is>
      </c>
    </row>
    <row r="16">
      <c r="A16" t="inlineStr"/>
    </row>
    <row r="17">
      <c r="A17" s="51" t="inlineStr">
        <is>
          <t>APPS SCRIPT</t>
        </is>
      </c>
    </row>
    <row r="18">
      <c r="A18" t="inlineStr"/>
    </row>
    <row r="19">
      <c r="A19" s="52" t="inlineStr">
        <is>
          <t>Instalacion (solo TU, luego funciona para todos):</t>
        </is>
      </c>
    </row>
    <row r="20">
      <c r="A20" s="52" t="inlineStr">
        <is>
          <t>1. Extensiones -&gt; Apps Script</t>
        </is>
      </c>
    </row>
    <row r="21">
      <c r="A21" s="52" t="inlineStr">
        <is>
          <t>2. Borra el codigo y pega el de abajo</t>
        </is>
      </c>
    </row>
    <row r="22">
      <c r="A22" s="52" t="inlineStr">
        <is>
          <t>3. Ctrl+S (guardar) -&gt; permisos (1a vez)</t>
        </is>
      </c>
    </row>
    <row r="23">
      <c r="A23" s="52" t="inlineStr">
        <is>
          <t>4. Vuelve a la hoja, recarga (F5) -&gt; menu '📅 Grupo'</t>
        </is>
      </c>
    </row>
    <row r="24">
      <c r="A24" t="inlineStr"/>
    </row>
    <row r="25">
      <c r="A25" s="53" t="inlineStr">
        <is>
          <t>PERMISOS (pantalla de 'no seguro'):</t>
        </is>
      </c>
    </row>
    <row r="26">
      <c r="A26" s="52" t="inlineStr">
        <is>
          <t xml:space="preserve">   Revisar permisos -&gt; Elegir cuenta -&gt; 'Avanzado' -&gt; 'Ir a [proyecto] (no seguro)' -&gt; 'Permitir'</t>
        </is>
      </c>
    </row>
    <row r="27">
      <c r="A27" t="inlineStr"/>
    </row>
    <row r="28">
      <c r="A28" s="54" t="inlineStr">
        <is>
          <t>NOTA: el script SE PIERDE si subes el .xlsx como nuevo archivo.</t>
        </is>
      </c>
    </row>
    <row r="29">
      <c r="A29" s="52" t="inlineStr">
        <is>
          <t xml:space="preserve">  Guarda 'codigo_apps_script.gs' por si necesitas re-importar.</t>
        </is>
      </c>
    </row>
    <row r="30">
      <c r="A30" t="inlineStr"/>
    </row>
    <row r="31">
      <c r="A31" s="13">
        <f>== CODIGO APPS SCRIPT ===</f>
        <v/>
      </c>
    </row>
    <row r="32">
      <c r="A32" t="inlineStr"/>
    </row>
    <row r="33">
      <c r="A33" s="55" t="inlineStr">
        <is>
          <t>function onOpen() {</t>
        </is>
      </c>
    </row>
    <row r="34">
      <c r="A34" s="55" t="inlineStr">
        <is>
          <t xml:space="preserve">      SpreadsheetApp.getUi()</t>
        </is>
      </c>
    </row>
    <row r="35">
      <c r="A35" s="55" t="inlineStr">
        <is>
          <t xml:space="preserve">        .createMenu('📅 Grupo')</t>
        </is>
      </c>
    </row>
    <row r="36">
      <c r="A36" s="55" t="inlineStr">
        <is>
          <t xml:space="preserve">        .addItem('Marcar rango de dias...', 'showDialog')</t>
        </is>
      </c>
    </row>
    <row r="37">
      <c r="A37" s="55" t="inlineStr">
        <is>
          <t xml:space="preserve">        .addSeparator()</t>
        </is>
      </c>
    </row>
    <row r="38">
      <c r="A38" s="55" t="inlineStr">
        <is>
          <t xml:space="preserve">        .addItem('Limpiar todo', 'clearAll')</t>
        </is>
      </c>
    </row>
    <row r="39">
      <c r="A39" s="55" t="inlineStr">
        <is>
          <t xml:space="preserve">        .addToUi();</t>
        </is>
      </c>
    </row>
    <row r="40">
      <c r="A40" s="55" t="inlineStr">
        <is>
          <t xml:space="preserve">    }</t>
        </is>
      </c>
    </row>
    <row r="41">
      <c r="A41" s="55" t="inlineStr"/>
    </row>
    <row r="42">
      <c r="A42" s="55" t="inlineStr">
        <is>
          <t xml:space="preserve">    function showDialog() {</t>
        </is>
      </c>
    </row>
    <row r="43">
      <c r="A43" s="55" t="inlineStr">
        <is>
          <t xml:space="preserve">      var html = HtmlService.createHtmlOutput(</t>
        </is>
      </c>
    </row>
    <row r="44">
      <c r="A44" s="55" t="inlineStr">
        <is>
          <t xml:space="preserve">        '&lt;style&gt;' +</t>
        </is>
      </c>
    </row>
    <row r="45">
      <c r="A45" s="55" t="inlineStr">
        <is>
          <t xml:space="preserve">        'body{font-family:Arial,sans-serif;padding:20px}' +</t>
        </is>
      </c>
    </row>
    <row r="46">
      <c r="A46" s="55" t="inlineStr">
        <is>
          <t xml:space="preserve">        'label{display:block;margin-top:12px;font-weight:bold;font-size:13px}' +</t>
        </is>
      </c>
    </row>
    <row r="47">
      <c r="A47" s="55" t="inlineStr">
        <is>
          <t xml:space="preserve">        'select,input{width:100%;padding:8px;margin-top:4px;border:1px solid #ccc;border-radius:4px;box-sizing:border-box}' +</t>
        </is>
      </c>
    </row>
    <row r="48">
      <c r="A48" s="55" t="inlineStr">
        <is>
          <t xml:space="preserve">        'button{margin-top:20px;padding:10px 20px;background:#27AE60;color:#fff;border:none;border-radius:4px;cursor:pointer;font-size:14px}' +</t>
        </is>
      </c>
    </row>
    <row r="49">
      <c r="A49" s="55" t="inlineStr">
        <is>
          <t xml:space="preserve">        'button:hover{background:#1E8449}' +</t>
        </is>
      </c>
    </row>
    <row r="50">
      <c r="A50" s="55" t="inlineStr">
        <is>
          <t xml:space="preserve">        '&lt;/style&gt;' +</t>
        </is>
      </c>
    </row>
    <row r="51">
      <c r="A51" s="55" t="inlineStr">
        <is>
          <t xml:space="preserve">        '&lt;h3&gt;Marcar disponibilidad en lote&lt;/h3&gt;' +</t>
        </is>
      </c>
    </row>
    <row r="52">
      <c r="A52" s="55" t="inlineStr">
        <is>
          <t xml:space="preserve">        '&lt;label&gt;Persona&lt;/label&gt;' +</t>
        </is>
      </c>
    </row>
    <row r="53">
      <c r="A53" s="55" t="inlineStr">
        <is>
          <t xml:space="preserve">        '&lt;select id="persona"&gt;' +</t>
        </is>
      </c>
    </row>
    <row r="54">
      <c r="A54" s="55" t="inlineStr">
        <is>
          <t xml:space="preserve">        '&lt;option&gt;SUSANNA&lt;/option&gt;&lt;option&gt;ZUA&lt;/option&gt;&lt;option&gt;PEPE&lt;/option&gt;&lt;option&gt;ANTO&lt;/option&gt;&lt;option&gt;ELIAS&lt;/option&gt;&lt;option&gt;CRIS&lt;/option&gt;' +</t>
        </is>
      </c>
    </row>
    <row r="55">
      <c r="A55" s="55" t="inlineStr">
        <is>
          <t xml:space="preserve">        '&lt;/select&gt;' +</t>
        </is>
      </c>
    </row>
    <row r="56">
      <c r="A56" s="55" t="inlineStr">
        <is>
          <t xml:space="preserve">        '&lt;label&gt;Codigo&lt;/label&gt;' +</t>
        </is>
      </c>
    </row>
    <row r="57">
      <c r="A57" s="55" t="inlineStr">
        <is>
          <t xml:space="preserve">        '&lt;select id="codigo"&gt;' +</t>
        </is>
      </c>
    </row>
    <row r="58">
      <c r="A58" s="55" t="inlineStr">
        <is>
          <t xml:space="preserve">        '&lt;option value="TM"&gt;TM - Trabajar manana (~08-15)&lt;/option&gt;&lt;option value="TT"&gt;TT - Trabajar tarde (~15-21)&lt;/option&gt;&lt;option value="TN"&gt;TN - Trabajar noche (~21-08)&lt;/option&gt;&lt;option value="FV"&gt;FV - Fuera (puedo volver)&lt;/option&gt;&lt;option value="FN"&gt;FN - Fuera (NO volver)&lt;/option&gt;&lt;option value="OC"&gt;OC - Ocupado&lt;/option&gt;&lt;option value="RE"&gt;RE - Recuperaciones&lt;/option&gt;&lt;option value="OT"&gt;OT - Otros&lt;/option&gt;&lt;option value="CL"&gt;CL - Clases&lt;/option&gt;' +</t>
        </is>
      </c>
    </row>
    <row r="59">
      <c r="A59" s="55" t="inlineStr">
        <is>
          <t xml:space="preserve">        '&lt;/select&gt;' +</t>
        </is>
      </c>
    </row>
    <row r="60">
      <c r="A60" s="55" t="inlineStr">
        <is>
          <t xml:space="preserve">        '&lt;label&gt;Fecha inicio&lt;/label&gt;' +</t>
        </is>
      </c>
    </row>
    <row r="61">
      <c r="A61" s="55" t="inlineStr">
        <is>
          <t xml:space="preserve">        '&lt;input type="date" id="inicio"&gt;' +</t>
        </is>
      </c>
    </row>
    <row r="62">
      <c r="A62" s="55" t="inlineStr">
        <is>
          <t xml:space="preserve">        '&lt;label&gt;Fecha fin&lt;/label&gt;' +</t>
        </is>
      </c>
    </row>
    <row r="63">
      <c r="A63" s="55" t="inlineStr">
        <is>
          <t xml:space="preserve">        '&lt;input type="date" id="fin"&gt;' +</t>
        </is>
      </c>
    </row>
    <row r="64">
      <c r="A64" s="55" t="inlineStr">
        <is>
          <t xml:space="preserve">        '&lt;button onclick="marcar()"&gt;Aplicar&lt;/button&gt;' +</t>
        </is>
      </c>
    </row>
    <row r="65">
      <c r="A65" s="55" t="inlineStr">
        <is>
          <t xml:space="preserve">        '&lt;div id="resultado" style="margin-top:15px;padding:10px;border-radius:4px;display:none"&gt;&lt;/div&gt;' +</t>
        </is>
      </c>
    </row>
    <row r="66">
      <c r="A66" s="55" t="inlineStr">
        <is>
          <t xml:space="preserve">        '&lt;script&gt;' +</t>
        </is>
      </c>
    </row>
    <row r="67">
      <c r="A67" s="55" t="inlineStr">
        <is>
          <t xml:space="preserve">        'function marcar(){var p=document.getElementById("persona").value;' +</t>
        </is>
      </c>
    </row>
    <row r="68">
      <c r="A68" s="55" t="inlineStr">
        <is>
          <t xml:space="preserve">        'var c=document.getElementById("codigo").value;' +</t>
        </is>
      </c>
    </row>
    <row r="69">
      <c r="A69" s="55" t="inlineStr">
        <is>
          <t xml:space="preserve">        'var i=document.getElementById("inicio").value;' +</t>
        </is>
      </c>
    </row>
    <row r="70">
      <c r="A70" s="55" t="inlineStr">
        <is>
          <t xml:space="preserve">        'var f=document.getElementById("fin").value;' +</t>
        </is>
      </c>
    </row>
    <row r="71">
      <c r="A71" s="55" t="inlineStr">
        <is>
          <t xml:space="preserve">        'if(!i||!f){var r=document.getElementById("resultado");' +</t>
        </is>
      </c>
    </row>
    <row r="72">
      <c r="A72" s="55" t="inlineStr">
        <is>
          <t xml:space="preserve">        'r.style.display="block";r.style.background="#FDEDEC";r.style.color="#E74C3C";' +</t>
        </is>
      </c>
    </row>
    <row r="73">
      <c r="A73" s="55" t="inlineStr">
        <is>
          <t xml:space="preserve">        'r.innerHTML="Selecciona fecha de inicio y fin";return}' +</t>
        </is>
      </c>
    </row>
    <row r="74">
      <c r="A74" s="55" t="inlineStr">
        <is>
          <t xml:space="preserve">        'google.script.run.withSuccessHandler(function(msg){' +</t>
        </is>
      </c>
    </row>
    <row r="75">
      <c r="A75" s="55" t="inlineStr">
        <is>
          <t xml:space="preserve">        'var r=document.getElementById("resultado");' +</t>
        </is>
      </c>
    </row>
    <row r="76">
      <c r="A76" s="55" t="inlineStr">
        <is>
          <t xml:space="preserve">        'r.style.display="block";r.style.background="#D5F5E3";r.style.color="#1E8449";' +</t>
        </is>
      </c>
    </row>
    <row r="77">
      <c r="A77" s="55" t="inlineStr">
        <is>
          <t xml:space="preserve">        'r.innerHTML=msg}).marcarRango(p,c,i,f)}' +</t>
        </is>
      </c>
    </row>
    <row r="78">
      <c r="A78" s="55" t="inlineStr">
        <is>
          <t xml:space="preserve">        '&lt;/script&gt;'</t>
        </is>
      </c>
    </row>
    <row r="79">
      <c r="A79" s="55" t="inlineStr">
        <is>
          <t xml:space="preserve">      ).setWidth(380).setHeight(440);</t>
        </is>
      </c>
    </row>
    <row r="80">
      <c r="A80" s="55" t="inlineStr">
        <is>
          <t xml:space="preserve">      SpreadsheetApp.getUi().showModalDialog(html, '📅 Marcar rango');</t>
        </is>
      </c>
    </row>
    <row r="81">
      <c r="A81" s="55" t="inlineStr">
        <is>
          <t xml:space="preserve">    }</t>
        </is>
      </c>
    </row>
    <row r="82">
      <c r="A82" s="55" t="inlineStr"/>
    </row>
    <row r="83">
      <c r="A83" s="55" t="inlineStr">
        <is>
          <t xml:space="preserve">    function marcarRango(persona, codigo, inicio, fin) {</t>
        </is>
      </c>
    </row>
    <row r="84">
      <c r="A84" s="55" t="inlineStr">
        <is>
          <t xml:space="preserve">      var sheet = SpreadsheetApp.getActiveSpreadsheet().getSheetByName('Calendario');</t>
        </is>
      </c>
    </row>
    <row r="85">
      <c r="A85" s="55" t="inlineStr">
        <is>
          <t xml:space="preserve">      if (!sheet) return 'Error: hoja Calendario no encontrada';</t>
        </is>
      </c>
    </row>
    <row r="86">
      <c r="A86" s="55" t="inlineStr">
        <is>
          <t xml:space="preserve">      var data = sheet.getDataRange().getValues();</t>
        </is>
      </c>
    </row>
    <row r="87">
      <c r="A87" s="55" t="inlineStr">
        <is>
          <t xml:space="preserve">      var headers = data[0];</t>
        </is>
      </c>
    </row>
    <row r="88">
      <c r="A88" s="55" t="inlineStr">
        <is>
          <t xml:space="preserve">      var col = -1;</t>
        </is>
      </c>
    </row>
    <row r="89">
      <c r="A89" s="55" t="inlineStr">
        <is>
          <t xml:space="preserve">      for (var h = 0; h &lt; headers.length; h++) {</t>
        </is>
      </c>
    </row>
    <row r="90">
      <c r="A90" s="55" t="inlineStr">
        <is>
          <t xml:space="preserve">        if (String(headers[h]).toUpperCase() === persona) { col = h + 1; break; }</t>
        </is>
      </c>
    </row>
    <row r="91">
      <c r="A91" s="55" t="inlineStr">
        <is>
          <t xml:space="preserve">      }</t>
        </is>
      </c>
    </row>
    <row r="92">
      <c r="A92" s="55" t="inlineStr">
        <is>
          <t xml:space="preserve">      if (col &lt; 3) return 'Error: persona "' + persona + '" no encontrada';</t>
        </is>
      </c>
    </row>
    <row r="93">
      <c r="A93" s="55" t="inlineStr">
        <is>
          <t xml:space="preserve">      var startDate = new Date(inicio);</t>
        </is>
      </c>
    </row>
    <row r="94">
      <c r="A94" s="55" t="inlineStr">
        <is>
          <t xml:space="preserve">      var endDate = new Date(fin);</t>
        </is>
      </c>
    </row>
    <row r="95">
      <c r="A95" s="55" t="inlineStr">
        <is>
          <t xml:space="preserve">      endDate.setDate(endDate.getDate() + 1);</t>
        </is>
      </c>
    </row>
    <row r="96">
      <c r="A96" s="55" t="inlineStr">
        <is>
          <t xml:space="preserve">      var count = 0;</t>
        </is>
      </c>
    </row>
    <row r="97">
      <c r="A97" s="55" t="inlineStr">
        <is>
          <t xml:space="preserve">      for (var i = 1; i &lt; data.length; i++) {</t>
        </is>
      </c>
    </row>
    <row r="98">
      <c r="A98" s="55" t="inlineStr">
        <is>
          <t xml:space="preserve">        var cellDate = data[i][0];</t>
        </is>
      </c>
    </row>
    <row r="99">
      <c r="A99" s="55" t="inlineStr">
        <is>
          <t xml:space="preserve">        if (cellDate instanceof Date &amp;&amp; cellDate &gt;= startDate &amp;&amp; cellDate &lt; endDate) {</t>
        </is>
      </c>
    </row>
    <row r="100">
      <c r="A100" s="55" t="inlineStr">
        <is>
          <t xml:space="preserve">          sheet.getRange(i + 1, col).setValue(codigo);</t>
        </is>
      </c>
    </row>
    <row r="101">
      <c r="A101" s="55" t="inlineStr">
        <is>
          <t xml:space="preserve">          count++;</t>
        </is>
      </c>
    </row>
    <row r="102">
      <c r="A102" s="55" t="inlineStr">
        <is>
          <t xml:space="preserve">        }</t>
        </is>
      </c>
    </row>
    <row r="103">
      <c r="A103" s="55" t="inlineStr">
        <is>
          <t xml:space="preserve">      }</t>
        </is>
      </c>
    </row>
    <row r="104">
      <c r="A104" s="55" t="inlineStr">
        <is>
          <t xml:space="preserve">      return 'Actualizados ' + count + ' dias como ' + codigo + ' para ' + persona;</t>
        </is>
      </c>
    </row>
    <row r="105">
      <c r="A105" s="55" t="inlineStr">
        <is>
          <t xml:space="preserve">    }</t>
        </is>
      </c>
    </row>
    <row r="106">
      <c r="A106" s="55" t="inlineStr"/>
    </row>
    <row r="107">
      <c r="A107" s="55" t="inlineStr">
        <is>
          <t xml:space="preserve">    function clearAll() {</t>
        </is>
      </c>
    </row>
    <row r="108">
      <c r="A108" s="55" t="inlineStr">
        <is>
          <t xml:space="preserve">      var ui = SpreadsheetApp.getUi();</t>
        </is>
      </c>
    </row>
    <row r="109">
      <c r="A109" s="55" t="inlineStr">
        <is>
          <t xml:space="preserve">      var r = ui.alert('Limpiar todo',</t>
        </is>
      </c>
    </row>
    <row r="110">
      <c r="A110" s="55" t="inlineStr">
        <is>
          <t xml:space="preserve">        'Esto borrara TODAS las celdas de disponibilidad. Continuar?',</t>
        </is>
      </c>
    </row>
    <row r="111">
      <c r="A111" s="55" t="inlineStr">
        <is>
          <t xml:space="preserve">        ui.ButtonSet.YES_NO);</t>
        </is>
      </c>
    </row>
    <row r="112">
      <c r="A112" s="55" t="inlineStr">
        <is>
          <t xml:space="preserve">      if (r === ui.Button.YES) {</t>
        </is>
      </c>
    </row>
    <row r="113">
      <c r="A113" s="55" t="inlineStr">
        <is>
          <t xml:space="preserve">        var sheet = SpreadsheetApp.getActiveSpreadsheet().getSheetByName('Calendario');</t>
        </is>
      </c>
    </row>
    <row r="114">
      <c r="A114" s="55" t="inlineStr">
        <is>
          <t xml:space="preserve">        var lastRow = sheet.getLastRow();</t>
        </is>
      </c>
    </row>
    <row r="115">
      <c r="A115" s="55" t="inlineStr">
        <is>
          <t xml:space="preserve">        var lastCol = sheet.getLastColumn();</t>
        </is>
      </c>
    </row>
    <row r="116">
      <c r="A116" s="55" t="inlineStr">
        <is>
          <t xml:space="preserve">        sheet.getRange('C2:' + sheet.getRange(1, lastCol).getA1Notation().replace(/[0-9]/g,'') + lastRow).clearContent();</t>
        </is>
      </c>
    </row>
    <row r="117">
      <c r="A117" s="55" t="inlineStr">
        <is>
          <t xml:space="preserve">        ui.alert('Listo', 'Calendario limpiado', ui.ButtonSet.OK);</t>
        </is>
      </c>
    </row>
    <row r="118">
      <c r="A118" s="55" t="inlineStr">
        <is>
          <t xml:space="preserve">      }</t>
        </is>
      </c>
    </row>
    <row r="119">
      <c r="A119" s="55" t="inlineStr">
        <is>
          <t xml:space="preserve">    }</t>
        </is>
      </c>
    </row>
    <row r="120">
      <c r="A120" t="inlineStr"/>
    </row>
    <row r="121">
      <c r="A121" s="13">
        <f>== FIN 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2026-06-30T15:43:54Z</dcterms:created>
  <dcterms:modified xmlns:dcterms="http://purl.org/dc/terms/" xmlns:xsi="http://www.w3.org/2001/XMLSchema-instance" xsi:type="dcterms:W3CDTF">2026-06-30T15:43:54Z</dcterms:modified>
</cp:coreProperties>
</file>